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gitProject\Excel\021-Excel VBA Macros Automation (US)-Backlink Database System\"/>
    </mc:Choice>
  </mc:AlternateContent>
  <bookViews>
    <workbookView xWindow="0" yWindow="0" windowWidth="20460" windowHeight="7680" tabRatio="911" firstSheet="3" activeTab="3"/>
  </bookViews>
  <sheets>
    <sheet name="PasteNewDomainURL (2)" sheetId="5" state="hidden" r:id="rId1"/>
    <sheet name="PasteNewDomainURL (3)" sheetId="7" state="hidden" r:id="rId2"/>
    <sheet name="PasteNewDomainURL" sheetId="4" state="hidden" r:id="rId3"/>
    <sheet name="MainSheet" sheetId="9" r:id="rId4"/>
    <sheet name="A Main Database" sheetId="1" r:id="rId5"/>
    <sheet name="B New List For Match (2)" sheetId="8" state="hidden" r:id="rId6"/>
    <sheet name="B New List For Match" sheetId="2" r:id="rId7"/>
    <sheet name="C Expected Outcome" sheetId="3" r:id="rId8"/>
  </sheets>
  <definedNames>
    <definedName name="_xlnm._FilterDatabase" localSheetId="4" hidden="1">'A Main Database'!$A$5:$Z$69</definedName>
    <definedName name="_xlnm._FilterDatabase" localSheetId="6" hidden="1">'B New List For Match'!$A$4:$R$4</definedName>
    <definedName name="_xlnm._FilterDatabase" localSheetId="5" hidden="1">'B New List For Match (2)'!$A$4:$R$4</definedName>
    <definedName name="_xlnm._FilterDatabase" localSheetId="7" hidden="1">'C Expected Outcome'!$A$4:$R$77</definedName>
    <definedName name="_xlnm._FilterDatabase" localSheetId="2" hidden="1">PasteNewDomainURL!$B$4:$Y$77</definedName>
    <definedName name="_xlnm._FilterDatabase" localSheetId="0" hidden="1">'PasteNewDomainURL (2)'!$B$4:$Y$77</definedName>
    <definedName name="_xlnm._FilterDatabase" localSheetId="1" hidden="1">'PasteNewDomainURL (3)'!$B$4:$Y$77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7" i="7" l="1"/>
  <c r="A77" i="7" s="1"/>
  <c r="Q77" i="7" s="1"/>
  <c r="X77" i="7"/>
  <c r="W77" i="7"/>
  <c r="V77" i="7"/>
  <c r="U77" i="7"/>
  <c r="I77" i="7"/>
  <c r="E77" i="7"/>
  <c r="AA76" i="7"/>
  <c r="A76" i="7" s="1"/>
  <c r="P76" i="7" s="1"/>
  <c r="X76" i="7"/>
  <c r="W76" i="7"/>
  <c r="V76" i="7"/>
  <c r="U76" i="7"/>
  <c r="L76" i="7"/>
  <c r="H76" i="7"/>
  <c r="D76" i="7"/>
  <c r="AA75" i="7"/>
  <c r="X75" i="7"/>
  <c r="W75" i="7"/>
  <c r="V75" i="7"/>
  <c r="U75" i="7"/>
  <c r="S75" i="7"/>
  <c r="O75" i="7"/>
  <c r="K75" i="7"/>
  <c r="G75" i="7"/>
  <c r="C75" i="7"/>
  <c r="A75" i="7"/>
  <c r="R75" i="7" s="1"/>
  <c r="AA74" i="7"/>
  <c r="X74" i="7"/>
  <c r="W74" i="7"/>
  <c r="V74" i="7"/>
  <c r="U74" i="7"/>
  <c r="N74" i="7"/>
  <c r="J74" i="7"/>
  <c r="F74" i="7"/>
  <c r="A74" i="7"/>
  <c r="AA73" i="7"/>
  <c r="X73" i="7"/>
  <c r="W73" i="7"/>
  <c r="V73" i="7"/>
  <c r="U73" i="7"/>
  <c r="Q73" i="7"/>
  <c r="P73" i="7"/>
  <c r="M73" i="7"/>
  <c r="L73" i="7"/>
  <c r="I73" i="7"/>
  <c r="H73" i="7"/>
  <c r="E73" i="7"/>
  <c r="D73" i="7"/>
  <c r="A73" i="7"/>
  <c r="S73" i="7" s="1"/>
  <c r="AA72" i="7"/>
  <c r="A72" i="7" s="1"/>
  <c r="P72" i="7" s="1"/>
  <c r="X72" i="7"/>
  <c r="W72" i="7"/>
  <c r="V72" i="7"/>
  <c r="U72" i="7"/>
  <c r="L72" i="7"/>
  <c r="H72" i="7"/>
  <c r="D72" i="7"/>
  <c r="AA71" i="7"/>
  <c r="X71" i="7"/>
  <c r="W71" i="7"/>
  <c r="V71" i="7"/>
  <c r="U71" i="7"/>
  <c r="S71" i="7"/>
  <c r="O71" i="7"/>
  <c r="K71" i="7"/>
  <c r="G71" i="7"/>
  <c r="C71" i="7"/>
  <c r="A71" i="7"/>
  <c r="R71" i="7" s="1"/>
  <c r="AA70" i="7"/>
  <c r="X70" i="7"/>
  <c r="W70" i="7"/>
  <c r="V70" i="7"/>
  <c r="U70" i="7"/>
  <c r="N70" i="7"/>
  <c r="J70" i="7"/>
  <c r="F70" i="7"/>
  <c r="A70" i="7"/>
  <c r="AA69" i="7"/>
  <c r="A69" i="7" s="1"/>
  <c r="X69" i="7"/>
  <c r="W69" i="7"/>
  <c r="V69" i="7"/>
  <c r="U69" i="7"/>
  <c r="E69" i="7"/>
  <c r="AA68" i="7"/>
  <c r="A68" i="7" s="1"/>
  <c r="P68" i="7" s="1"/>
  <c r="X68" i="7"/>
  <c r="W68" i="7"/>
  <c r="V68" i="7"/>
  <c r="U68" i="7"/>
  <c r="H68" i="7"/>
  <c r="D68" i="7"/>
  <c r="AA67" i="7"/>
  <c r="X67" i="7"/>
  <c r="W67" i="7"/>
  <c r="V67" i="7"/>
  <c r="U67" i="7"/>
  <c r="R67" i="7"/>
  <c r="J67" i="7"/>
  <c r="A67" i="7"/>
  <c r="AA66" i="7"/>
  <c r="X66" i="7"/>
  <c r="W66" i="7"/>
  <c r="V66" i="7"/>
  <c r="U66" i="7"/>
  <c r="N66" i="7"/>
  <c r="M66" i="7"/>
  <c r="F66" i="7"/>
  <c r="E66" i="7"/>
  <c r="A66" i="7"/>
  <c r="Q66" i="7" s="1"/>
  <c r="AA65" i="7"/>
  <c r="A65" i="7" s="1"/>
  <c r="X65" i="7"/>
  <c r="W65" i="7"/>
  <c r="V65" i="7"/>
  <c r="U65" i="7"/>
  <c r="Q65" i="7"/>
  <c r="P65" i="7"/>
  <c r="M65" i="7"/>
  <c r="L65" i="7"/>
  <c r="I65" i="7"/>
  <c r="H65" i="7"/>
  <c r="E65" i="7"/>
  <c r="D65" i="7"/>
  <c r="AA64" i="7"/>
  <c r="A64" i="7" s="1"/>
  <c r="X64" i="7"/>
  <c r="W64" i="7"/>
  <c r="V64" i="7"/>
  <c r="U64" i="7"/>
  <c r="L64" i="7"/>
  <c r="D64" i="7"/>
  <c r="AA63" i="7"/>
  <c r="X63" i="7"/>
  <c r="W63" i="7"/>
  <c r="V63" i="7"/>
  <c r="U63" i="7"/>
  <c r="A63" i="7"/>
  <c r="AA62" i="7"/>
  <c r="X62" i="7"/>
  <c r="W62" i="7"/>
  <c r="V62" i="7"/>
  <c r="U62" i="7"/>
  <c r="Q62" i="7"/>
  <c r="N62" i="7"/>
  <c r="M62" i="7"/>
  <c r="I62" i="7"/>
  <c r="F62" i="7"/>
  <c r="E62" i="7"/>
  <c r="A62" i="7"/>
  <c r="AA61" i="7"/>
  <c r="X61" i="7"/>
  <c r="W61" i="7"/>
  <c r="V61" i="7"/>
  <c r="U61" i="7"/>
  <c r="R61" i="7"/>
  <c r="M61" i="7"/>
  <c r="H61" i="7"/>
  <c r="A61" i="7"/>
  <c r="AA60" i="7"/>
  <c r="A60" i="7" s="1"/>
  <c r="S60" i="7" s="1"/>
  <c r="X60" i="7"/>
  <c r="W60" i="7"/>
  <c r="V60" i="7"/>
  <c r="U60" i="7"/>
  <c r="P60" i="7"/>
  <c r="O60" i="7"/>
  <c r="K60" i="7"/>
  <c r="I60" i="7"/>
  <c r="E60" i="7"/>
  <c r="D60" i="7"/>
  <c r="AA59" i="7"/>
  <c r="A59" i="7" s="1"/>
  <c r="X59" i="7"/>
  <c r="W59" i="7"/>
  <c r="V59" i="7"/>
  <c r="U59" i="7"/>
  <c r="S59" i="7"/>
  <c r="N59" i="7"/>
  <c r="H59" i="7"/>
  <c r="D59" i="7"/>
  <c r="AA58" i="7"/>
  <c r="X58" i="7"/>
  <c r="W58" i="7"/>
  <c r="V58" i="7"/>
  <c r="U58" i="7"/>
  <c r="S58" i="7"/>
  <c r="O58" i="7"/>
  <c r="K58" i="7"/>
  <c r="G58" i="7"/>
  <c r="C58" i="7"/>
  <c r="A58" i="7"/>
  <c r="R58" i="7" s="1"/>
  <c r="AA57" i="7"/>
  <c r="X57" i="7"/>
  <c r="W57" i="7"/>
  <c r="V57" i="7"/>
  <c r="U57" i="7"/>
  <c r="N57" i="7"/>
  <c r="J57" i="7"/>
  <c r="A57" i="7"/>
  <c r="AA56" i="7"/>
  <c r="X56" i="7"/>
  <c r="W56" i="7"/>
  <c r="V56" i="7"/>
  <c r="U56" i="7"/>
  <c r="Q56" i="7"/>
  <c r="M56" i="7"/>
  <c r="I56" i="7"/>
  <c r="E56" i="7"/>
  <c r="A56" i="7"/>
  <c r="P56" i="7" s="1"/>
  <c r="AA55" i="7"/>
  <c r="A55" i="7" s="1"/>
  <c r="X55" i="7"/>
  <c r="W55" i="7"/>
  <c r="V55" i="7"/>
  <c r="U55" i="7"/>
  <c r="Q55" i="7"/>
  <c r="P55" i="7"/>
  <c r="M55" i="7"/>
  <c r="L55" i="7"/>
  <c r="I55" i="7"/>
  <c r="H55" i="7"/>
  <c r="E55" i="7"/>
  <c r="D55" i="7"/>
  <c r="AA54" i="7"/>
  <c r="A54" i="7" s="1"/>
  <c r="X54" i="7"/>
  <c r="W54" i="7"/>
  <c r="V54" i="7"/>
  <c r="U54" i="7"/>
  <c r="S54" i="7"/>
  <c r="P54" i="7"/>
  <c r="L54" i="7"/>
  <c r="K54" i="7"/>
  <c r="H54" i="7"/>
  <c r="D54" i="7"/>
  <c r="C54" i="7"/>
  <c r="AA53" i="7"/>
  <c r="X53" i="7"/>
  <c r="W53" i="7"/>
  <c r="V53" i="7"/>
  <c r="U53" i="7"/>
  <c r="O53" i="7"/>
  <c r="N53" i="7"/>
  <c r="G53" i="7"/>
  <c r="F53" i="7"/>
  <c r="A53" i="7"/>
  <c r="AA52" i="7"/>
  <c r="X52" i="7"/>
  <c r="W52" i="7"/>
  <c r="V52" i="7"/>
  <c r="U52" i="7"/>
  <c r="J52" i="7"/>
  <c r="A52" i="7"/>
  <c r="AA51" i="7"/>
  <c r="A51" i="7" s="1"/>
  <c r="X51" i="7"/>
  <c r="W51" i="7"/>
  <c r="V51" i="7"/>
  <c r="U51" i="7"/>
  <c r="Q51" i="7"/>
  <c r="P51" i="7"/>
  <c r="M51" i="7"/>
  <c r="L51" i="7"/>
  <c r="I51" i="7"/>
  <c r="H51" i="7"/>
  <c r="E51" i="7"/>
  <c r="D51" i="7"/>
  <c r="AA50" i="7"/>
  <c r="A50" i="7" s="1"/>
  <c r="X50" i="7"/>
  <c r="W50" i="7"/>
  <c r="V50" i="7"/>
  <c r="U50" i="7"/>
  <c r="S50" i="7"/>
  <c r="P50" i="7"/>
  <c r="L50" i="7"/>
  <c r="K50" i="7"/>
  <c r="H50" i="7"/>
  <c r="D50" i="7"/>
  <c r="C50" i="7"/>
  <c r="AA49" i="7"/>
  <c r="X49" i="7"/>
  <c r="W49" i="7"/>
  <c r="V49" i="7"/>
  <c r="U49" i="7"/>
  <c r="O49" i="7"/>
  <c r="N49" i="7"/>
  <c r="G49" i="7"/>
  <c r="F49" i="7"/>
  <c r="A49" i="7"/>
  <c r="AA48" i="7"/>
  <c r="X48" i="7"/>
  <c r="W48" i="7"/>
  <c r="V48" i="7"/>
  <c r="U48" i="7"/>
  <c r="A48" i="7"/>
  <c r="J48" i="7" s="1"/>
  <c r="AA47" i="7"/>
  <c r="A47" i="7" s="1"/>
  <c r="X47" i="7"/>
  <c r="W47" i="7"/>
  <c r="V47" i="7"/>
  <c r="U47" i="7"/>
  <c r="Q47" i="7"/>
  <c r="P47" i="7"/>
  <c r="M47" i="7"/>
  <c r="L47" i="7"/>
  <c r="I47" i="7"/>
  <c r="H47" i="7"/>
  <c r="E47" i="7"/>
  <c r="D47" i="7"/>
  <c r="AA46" i="7"/>
  <c r="A46" i="7" s="1"/>
  <c r="X46" i="7"/>
  <c r="W46" i="7"/>
  <c r="V46" i="7"/>
  <c r="U46" i="7"/>
  <c r="S46" i="7"/>
  <c r="P46" i="7"/>
  <c r="L46" i="7"/>
  <c r="K46" i="7"/>
  <c r="H46" i="7"/>
  <c r="D46" i="7"/>
  <c r="C46" i="7"/>
  <c r="AA45" i="7"/>
  <c r="X45" i="7"/>
  <c r="W45" i="7"/>
  <c r="V45" i="7"/>
  <c r="U45" i="7"/>
  <c r="O45" i="7"/>
  <c r="N45" i="7"/>
  <c r="G45" i="7"/>
  <c r="F45" i="7"/>
  <c r="A45" i="7"/>
  <c r="AA44" i="7"/>
  <c r="X44" i="7"/>
  <c r="W44" i="7"/>
  <c r="V44" i="7"/>
  <c r="U44" i="7"/>
  <c r="M44" i="7"/>
  <c r="J44" i="7"/>
  <c r="E44" i="7"/>
  <c r="A44" i="7"/>
  <c r="AA43" i="7"/>
  <c r="A43" i="7" s="1"/>
  <c r="X43" i="7"/>
  <c r="W43" i="7"/>
  <c r="V43" i="7"/>
  <c r="U43" i="7"/>
  <c r="Q43" i="7"/>
  <c r="P43" i="7"/>
  <c r="M43" i="7"/>
  <c r="L43" i="7"/>
  <c r="I43" i="7"/>
  <c r="H43" i="7"/>
  <c r="G43" i="7"/>
  <c r="E43" i="7"/>
  <c r="D43" i="7"/>
  <c r="C43" i="7"/>
  <c r="AA42" i="7"/>
  <c r="A42" i="7" s="1"/>
  <c r="X42" i="7"/>
  <c r="W42" i="7"/>
  <c r="V42" i="7"/>
  <c r="U42" i="7"/>
  <c r="P42" i="7"/>
  <c r="O42" i="7"/>
  <c r="K42" i="7"/>
  <c r="J42" i="7"/>
  <c r="F42" i="7"/>
  <c r="D42" i="7"/>
  <c r="AA41" i="7"/>
  <c r="X41" i="7"/>
  <c r="W41" i="7"/>
  <c r="V41" i="7"/>
  <c r="U41" i="7"/>
  <c r="S41" i="7"/>
  <c r="Q41" i="7"/>
  <c r="O41" i="7"/>
  <c r="N41" i="7"/>
  <c r="K41" i="7"/>
  <c r="J41" i="7"/>
  <c r="I41" i="7"/>
  <c r="F41" i="7"/>
  <c r="E41" i="7"/>
  <c r="C41" i="7"/>
  <c r="A41" i="7"/>
  <c r="AA40" i="7"/>
  <c r="X40" i="7"/>
  <c r="W40" i="7"/>
  <c r="V40" i="7"/>
  <c r="U40" i="7"/>
  <c r="Q40" i="7"/>
  <c r="L40" i="7"/>
  <c r="F40" i="7"/>
  <c r="A40" i="7"/>
  <c r="AA39" i="7"/>
  <c r="A39" i="7" s="1"/>
  <c r="X39" i="7"/>
  <c r="W39" i="7"/>
  <c r="V39" i="7"/>
  <c r="U39" i="7"/>
  <c r="I39" i="7"/>
  <c r="AA38" i="7"/>
  <c r="X38" i="7"/>
  <c r="W38" i="7"/>
  <c r="V38" i="7"/>
  <c r="U38" i="7"/>
  <c r="S38" i="7"/>
  <c r="N38" i="7"/>
  <c r="H38" i="7"/>
  <c r="C38" i="7"/>
  <c r="A38" i="7"/>
  <c r="AA37" i="7"/>
  <c r="X37" i="7"/>
  <c r="W37" i="7"/>
  <c r="V37" i="7"/>
  <c r="U37" i="7"/>
  <c r="Q37" i="7"/>
  <c r="K37" i="7"/>
  <c r="F37" i="7"/>
  <c r="A37" i="7"/>
  <c r="AA36" i="7"/>
  <c r="A36" i="7" s="1"/>
  <c r="J36" i="7" s="1"/>
  <c r="X36" i="7"/>
  <c r="W36" i="7"/>
  <c r="V36" i="7"/>
  <c r="U36" i="7"/>
  <c r="I36" i="7"/>
  <c r="AA35" i="7"/>
  <c r="A35" i="7" s="1"/>
  <c r="X35" i="7"/>
  <c r="W35" i="7"/>
  <c r="V35" i="7"/>
  <c r="U35" i="7"/>
  <c r="S35" i="7"/>
  <c r="Q35" i="7"/>
  <c r="O35" i="7"/>
  <c r="M35" i="7"/>
  <c r="L35" i="7"/>
  <c r="I35" i="7"/>
  <c r="H35" i="7"/>
  <c r="G35" i="7"/>
  <c r="D35" i="7"/>
  <c r="C35" i="7"/>
  <c r="AA34" i="7"/>
  <c r="A34" i="7" s="1"/>
  <c r="P34" i="7" s="1"/>
  <c r="X34" i="7"/>
  <c r="W34" i="7"/>
  <c r="V34" i="7"/>
  <c r="U34" i="7"/>
  <c r="O34" i="7"/>
  <c r="J34" i="7"/>
  <c r="D34" i="7"/>
  <c r="AA33" i="7"/>
  <c r="X33" i="7"/>
  <c r="W33" i="7"/>
  <c r="V33" i="7"/>
  <c r="U33" i="7"/>
  <c r="S33" i="7"/>
  <c r="Q33" i="7"/>
  <c r="O33" i="7"/>
  <c r="N33" i="7"/>
  <c r="K33" i="7"/>
  <c r="J33" i="7"/>
  <c r="I33" i="7"/>
  <c r="F33" i="7"/>
  <c r="E33" i="7"/>
  <c r="C33" i="7"/>
  <c r="A33" i="7"/>
  <c r="AA32" i="7"/>
  <c r="X32" i="7"/>
  <c r="W32" i="7"/>
  <c r="V32" i="7"/>
  <c r="U32" i="7"/>
  <c r="A32" i="7"/>
  <c r="R32" i="7" s="1"/>
  <c r="AA31" i="7"/>
  <c r="A31" i="7" s="1"/>
  <c r="X31" i="7"/>
  <c r="W31" i="7"/>
  <c r="V31" i="7"/>
  <c r="U31" i="7"/>
  <c r="P31" i="7"/>
  <c r="O31" i="7"/>
  <c r="K31" i="7"/>
  <c r="I31" i="7"/>
  <c r="E31" i="7"/>
  <c r="D31" i="7"/>
  <c r="AA30" i="7"/>
  <c r="X30" i="7"/>
  <c r="W30" i="7"/>
  <c r="V30" i="7"/>
  <c r="U30" i="7"/>
  <c r="R30" i="7"/>
  <c r="N30" i="7"/>
  <c r="M30" i="7"/>
  <c r="I30" i="7"/>
  <c r="F30" i="7"/>
  <c r="E30" i="7"/>
  <c r="A30" i="7"/>
  <c r="AA29" i="7"/>
  <c r="A29" i="7" s="1"/>
  <c r="Q29" i="7" s="1"/>
  <c r="X29" i="7"/>
  <c r="W29" i="7"/>
  <c r="V29" i="7"/>
  <c r="U29" i="7"/>
  <c r="P29" i="7"/>
  <c r="L29" i="7"/>
  <c r="H29" i="7"/>
  <c r="D29" i="7"/>
  <c r="AA28" i="7"/>
  <c r="A28" i="7" s="1"/>
  <c r="X28" i="7"/>
  <c r="W28" i="7"/>
  <c r="V28" i="7"/>
  <c r="U28" i="7"/>
  <c r="S28" i="7"/>
  <c r="O28" i="7"/>
  <c r="L28" i="7"/>
  <c r="K28" i="7"/>
  <c r="G28" i="7"/>
  <c r="D28" i="7"/>
  <c r="C28" i="7"/>
  <c r="AA27" i="7"/>
  <c r="X27" i="7"/>
  <c r="W27" i="7"/>
  <c r="V27" i="7"/>
  <c r="U27" i="7"/>
  <c r="S27" i="7"/>
  <c r="O27" i="7"/>
  <c r="K27" i="7"/>
  <c r="G27" i="7"/>
  <c r="C27" i="7"/>
  <c r="A27" i="7"/>
  <c r="AA26" i="7"/>
  <c r="X26" i="7"/>
  <c r="W26" i="7"/>
  <c r="V26" i="7"/>
  <c r="U26" i="7"/>
  <c r="Q26" i="7"/>
  <c r="N26" i="7"/>
  <c r="M26" i="7"/>
  <c r="I26" i="7"/>
  <c r="F26" i="7"/>
  <c r="E26" i="7"/>
  <c r="A26" i="7"/>
  <c r="AA25" i="7"/>
  <c r="A25" i="7" s="1"/>
  <c r="Q25" i="7" s="1"/>
  <c r="X25" i="7"/>
  <c r="W25" i="7"/>
  <c r="V25" i="7"/>
  <c r="U25" i="7"/>
  <c r="P25" i="7"/>
  <c r="L25" i="7"/>
  <c r="H25" i="7"/>
  <c r="D25" i="7"/>
  <c r="AA24" i="7"/>
  <c r="A24" i="7" s="1"/>
  <c r="X24" i="7"/>
  <c r="W24" i="7"/>
  <c r="V24" i="7"/>
  <c r="U24" i="7"/>
  <c r="S24" i="7"/>
  <c r="O24" i="7"/>
  <c r="L24" i="7"/>
  <c r="K24" i="7"/>
  <c r="G24" i="7"/>
  <c r="D24" i="7"/>
  <c r="C24" i="7"/>
  <c r="AA23" i="7"/>
  <c r="X23" i="7"/>
  <c r="W23" i="7"/>
  <c r="V23" i="7"/>
  <c r="U23" i="7"/>
  <c r="S23" i="7"/>
  <c r="O23" i="7"/>
  <c r="K23" i="7"/>
  <c r="G23" i="7"/>
  <c r="C23" i="7"/>
  <c r="A23" i="7"/>
  <c r="AA22" i="7"/>
  <c r="X22" i="7"/>
  <c r="W22" i="7"/>
  <c r="V22" i="7"/>
  <c r="U22" i="7"/>
  <c r="Q22" i="7"/>
  <c r="N22" i="7"/>
  <c r="M22" i="7"/>
  <c r="I22" i="7"/>
  <c r="F22" i="7"/>
  <c r="E22" i="7"/>
  <c r="A22" i="7"/>
  <c r="AA21" i="7"/>
  <c r="A21" i="7" s="1"/>
  <c r="Q21" i="7" s="1"/>
  <c r="X21" i="7"/>
  <c r="W21" i="7"/>
  <c r="V21" i="7"/>
  <c r="U21" i="7"/>
  <c r="P21" i="7"/>
  <c r="L21" i="7"/>
  <c r="H21" i="7"/>
  <c r="D21" i="7"/>
  <c r="AA20" i="7"/>
  <c r="A20" i="7" s="1"/>
  <c r="X20" i="7"/>
  <c r="W20" i="7"/>
  <c r="V20" i="7"/>
  <c r="U20" i="7"/>
  <c r="S20" i="7"/>
  <c r="O20" i="7"/>
  <c r="L20" i="7"/>
  <c r="K20" i="7"/>
  <c r="G20" i="7"/>
  <c r="D20" i="7"/>
  <c r="C20" i="7"/>
  <c r="AA19" i="7"/>
  <c r="X19" i="7"/>
  <c r="W19" i="7"/>
  <c r="V19" i="7"/>
  <c r="U19" i="7"/>
  <c r="S19" i="7"/>
  <c r="O19" i="7"/>
  <c r="K19" i="7"/>
  <c r="G19" i="7"/>
  <c r="C19" i="7"/>
  <c r="A19" i="7"/>
  <c r="AA18" i="7"/>
  <c r="X18" i="7"/>
  <c r="W18" i="7"/>
  <c r="V18" i="7"/>
  <c r="U18" i="7"/>
  <c r="Q18" i="7"/>
  <c r="O18" i="7"/>
  <c r="N18" i="7"/>
  <c r="K18" i="7"/>
  <c r="J18" i="7"/>
  <c r="I18" i="7"/>
  <c r="F18" i="7"/>
  <c r="E18" i="7"/>
  <c r="C18" i="7"/>
  <c r="A18" i="7"/>
  <c r="AA17" i="7"/>
  <c r="A17" i="7" s="1"/>
  <c r="X17" i="7"/>
  <c r="W17" i="7"/>
  <c r="V17" i="7"/>
  <c r="U17" i="7"/>
  <c r="AA16" i="7"/>
  <c r="A16" i="7" s="1"/>
  <c r="X16" i="7"/>
  <c r="W16" i="7"/>
  <c r="V16" i="7"/>
  <c r="U16" i="7"/>
  <c r="O16" i="7"/>
  <c r="I16" i="7"/>
  <c r="D16" i="7"/>
  <c r="AA15" i="7"/>
  <c r="X15" i="7"/>
  <c r="W15" i="7"/>
  <c r="V15" i="7"/>
  <c r="U15" i="7"/>
  <c r="A15" i="7"/>
  <c r="S15" i="7" s="1"/>
  <c r="AA14" i="7"/>
  <c r="X14" i="7"/>
  <c r="W14" i="7"/>
  <c r="V14" i="7"/>
  <c r="U14" i="7"/>
  <c r="S14" i="7"/>
  <c r="Q14" i="7"/>
  <c r="N14" i="7"/>
  <c r="K14" i="7"/>
  <c r="I14" i="7"/>
  <c r="F14" i="7"/>
  <c r="C14" i="7"/>
  <c r="A14" i="7"/>
  <c r="AA13" i="7"/>
  <c r="A13" i="7" s="1"/>
  <c r="X13" i="7"/>
  <c r="W13" i="7"/>
  <c r="V13" i="7"/>
  <c r="U13" i="7"/>
  <c r="AA12" i="7"/>
  <c r="A12" i="7" s="1"/>
  <c r="S12" i="7" s="1"/>
  <c r="X12" i="7"/>
  <c r="W12" i="7"/>
  <c r="V12" i="7"/>
  <c r="U12" i="7"/>
  <c r="Q12" i="7"/>
  <c r="O12" i="7"/>
  <c r="L12" i="7"/>
  <c r="I12" i="7"/>
  <c r="G12" i="7"/>
  <c r="D12" i="7"/>
  <c r="AA11" i="7"/>
  <c r="A11" i="7" s="1"/>
  <c r="X11" i="7"/>
  <c r="W11" i="7"/>
  <c r="V11" i="7"/>
  <c r="U11" i="7"/>
  <c r="AA10" i="7"/>
  <c r="X10" i="7"/>
  <c r="W10" i="7"/>
  <c r="V10" i="7"/>
  <c r="U10" i="7"/>
  <c r="S10" i="7"/>
  <c r="Q10" i="7"/>
  <c r="O10" i="7"/>
  <c r="N10" i="7"/>
  <c r="K10" i="7"/>
  <c r="J10" i="7"/>
  <c r="I10" i="7"/>
  <c r="F10" i="7"/>
  <c r="E10" i="7"/>
  <c r="C10" i="7"/>
  <c r="A10" i="7"/>
  <c r="AA9" i="7"/>
  <c r="A9" i="7" s="1"/>
  <c r="X9" i="7"/>
  <c r="W9" i="7"/>
  <c r="V9" i="7"/>
  <c r="U9" i="7"/>
  <c r="AA8" i="7"/>
  <c r="A8" i="7" s="1"/>
  <c r="P8" i="7" s="1"/>
  <c r="X8" i="7"/>
  <c r="W8" i="7"/>
  <c r="V8" i="7"/>
  <c r="U8" i="7"/>
  <c r="O8" i="7"/>
  <c r="I8" i="7"/>
  <c r="D8" i="7"/>
  <c r="AA7" i="7"/>
  <c r="A7" i="7" s="1"/>
  <c r="X7" i="7"/>
  <c r="W7" i="7"/>
  <c r="V7" i="7"/>
  <c r="U7" i="7"/>
  <c r="AA6" i="7"/>
  <c r="A6" i="7" s="1"/>
  <c r="X6" i="7"/>
  <c r="W6" i="7"/>
  <c r="V6" i="7"/>
  <c r="U6" i="7"/>
  <c r="AA5" i="7"/>
  <c r="A5" i="7" s="1"/>
  <c r="X5" i="7"/>
  <c r="W5" i="7"/>
  <c r="V5" i="7"/>
  <c r="U5" i="7"/>
  <c r="A4" i="7"/>
  <c r="S6" i="7" l="1"/>
  <c r="O6" i="7"/>
  <c r="K6" i="7"/>
  <c r="G6" i="7"/>
  <c r="C6" i="7"/>
  <c r="R6" i="7"/>
  <c r="N6" i="7"/>
  <c r="J6" i="7"/>
  <c r="F6" i="7"/>
  <c r="P6" i="7"/>
  <c r="L6" i="7"/>
  <c r="H6" i="7"/>
  <c r="D6" i="7"/>
  <c r="Q6" i="7"/>
  <c r="M6" i="7"/>
  <c r="I6" i="7"/>
  <c r="E6" i="7"/>
  <c r="Q7" i="7"/>
  <c r="P7" i="7"/>
  <c r="L7" i="7"/>
  <c r="H7" i="7"/>
  <c r="D7" i="7"/>
  <c r="O7" i="7"/>
  <c r="K7" i="7"/>
  <c r="G7" i="7"/>
  <c r="C7" i="7"/>
  <c r="R7" i="7"/>
  <c r="M7" i="7"/>
  <c r="I7" i="7"/>
  <c r="E7" i="7"/>
  <c r="S7" i="7"/>
  <c r="N7" i="7"/>
  <c r="J7" i="7"/>
  <c r="F7" i="7"/>
  <c r="S9" i="7"/>
  <c r="O9" i="7"/>
  <c r="K9" i="7"/>
  <c r="G9" i="7"/>
  <c r="C9" i="7"/>
  <c r="P9" i="7"/>
  <c r="J9" i="7"/>
  <c r="E9" i="7"/>
  <c r="N9" i="7"/>
  <c r="I9" i="7"/>
  <c r="D9" i="7"/>
  <c r="Q9" i="7"/>
  <c r="L9" i="7"/>
  <c r="F9" i="7"/>
  <c r="R9" i="7"/>
  <c r="M9" i="7"/>
  <c r="H9" i="7"/>
  <c r="R5" i="7"/>
  <c r="N5" i="7"/>
  <c r="J5" i="7"/>
  <c r="F5" i="7"/>
  <c r="M5" i="7"/>
  <c r="E5" i="7"/>
  <c r="Q5" i="7"/>
  <c r="I5" i="7"/>
  <c r="P5" i="7"/>
  <c r="L5" i="7"/>
  <c r="H5" i="7"/>
  <c r="D5" i="7"/>
  <c r="S5" i="7"/>
  <c r="O5" i="7"/>
  <c r="K5" i="7"/>
  <c r="G5" i="7"/>
  <c r="C5" i="7"/>
  <c r="Q11" i="7"/>
  <c r="M11" i="7"/>
  <c r="I11" i="7"/>
  <c r="E11" i="7"/>
  <c r="S11" i="7"/>
  <c r="N11" i="7"/>
  <c r="H11" i="7"/>
  <c r="C11" i="7"/>
  <c r="R11" i="7"/>
  <c r="L11" i="7"/>
  <c r="G11" i="7"/>
  <c r="O11" i="7"/>
  <c r="J11" i="7"/>
  <c r="D11" i="7"/>
  <c r="P11" i="7"/>
  <c r="K11" i="7"/>
  <c r="F11" i="7"/>
  <c r="S13" i="7"/>
  <c r="O13" i="7"/>
  <c r="K13" i="7"/>
  <c r="G13" i="7"/>
  <c r="C13" i="7"/>
  <c r="R13" i="7"/>
  <c r="M13" i="7"/>
  <c r="H13" i="7"/>
  <c r="Q13" i="7"/>
  <c r="L13" i="7"/>
  <c r="F13" i="7"/>
  <c r="N13" i="7"/>
  <c r="I13" i="7"/>
  <c r="D13" i="7"/>
  <c r="P13" i="7"/>
  <c r="J13" i="7"/>
  <c r="E13" i="7"/>
  <c r="S17" i="7"/>
  <c r="O17" i="7"/>
  <c r="K17" i="7"/>
  <c r="G17" i="7"/>
  <c r="C17" i="7"/>
  <c r="P17" i="7"/>
  <c r="J17" i="7"/>
  <c r="E17" i="7"/>
  <c r="N17" i="7"/>
  <c r="I17" i="7"/>
  <c r="D17" i="7"/>
  <c r="Q17" i="7"/>
  <c r="L17" i="7"/>
  <c r="F17" i="7"/>
  <c r="R17" i="7"/>
  <c r="M17" i="7"/>
  <c r="H17" i="7"/>
  <c r="R16" i="7"/>
  <c r="N16" i="7"/>
  <c r="J16" i="7"/>
  <c r="F16" i="7"/>
  <c r="R39" i="7"/>
  <c r="N39" i="7"/>
  <c r="J39" i="7"/>
  <c r="F39" i="7"/>
  <c r="S39" i="7"/>
  <c r="M39" i="7"/>
  <c r="H39" i="7"/>
  <c r="C39" i="7"/>
  <c r="Q39" i="7"/>
  <c r="L39" i="7"/>
  <c r="G39" i="7"/>
  <c r="E8" i="7"/>
  <c r="K8" i="7"/>
  <c r="C12" i="7"/>
  <c r="H12" i="7"/>
  <c r="M12" i="7"/>
  <c r="P14" i="7"/>
  <c r="L14" i="7"/>
  <c r="H14" i="7"/>
  <c r="D14" i="7"/>
  <c r="G14" i="7"/>
  <c r="M14" i="7"/>
  <c r="R14" i="7"/>
  <c r="C15" i="7"/>
  <c r="H15" i="7"/>
  <c r="N15" i="7"/>
  <c r="E16" i="7"/>
  <c r="K16" i="7"/>
  <c r="P16" i="7"/>
  <c r="Q19" i="7"/>
  <c r="M19" i="7"/>
  <c r="I19" i="7"/>
  <c r="E19" i="7"/>
  <c r="P19" i="7"/>
  <c r="L19" i="7"/>
  <c r="H19" i="7"/>
  <c r="D19" i="7"/>
  <c r="J19" i="7"/>
  <c r="R19" i="7"/>
  <c r="R20" i="7"/>
  <c r="N20" i="7"/>
  <c r="J20" i="7"/>
  <c r="F20" i="7"/>
  <c r="Q20" i="7"/>
  <c r="M20" i="7"/>
  <c r="I20" i="7"/>
  <c r="E20" i="7"/>
  <c r="I21" i="7"/>
  <c r="Q23" i="7"/>
  <c r="M23" i="7"/>
  <c r="I23" i="7"/>
  <c r="E23" i="7"/>
  <c r="P23" i="7"/>
  <c r="L23" i="7"/>
  <c r="H23" i="7"/>
  <c r="D23" i="7"/>
  <c r="J23" i="7"/>
  <c r="R23" i="7"/>
  <c r="R24" i="7"/>
  <c r="N24" i="7"/>
  <c r="J24" i="7"/>
  <c r="F24" i="7"/>
  <c r="Q24" i="7"/>
  <c r="M24" i="7"/>
  <c r="I24" i="7"/>
  <c r="E24" i="7"/>
  <c r="I25" i="7"/>
  <c r="Q27" i="7"/>
  <c r="M27" i="7"/>
  <c r="I27" i="7"/>
  <c r="E27" i="7"/>
  <c r="P27" i="7"/>
  <c r="L27" i="7"/>
  <c r="H27" i="7"/>
  <c r="D27" i="7"/>
  <c r="J27" i="7"/>
  <c r="R27" i="7"/>
  <c r="R28" i="7"/>
  <c r="N28" i="7"/>
  <c r="J28" i="7"/>
  <c r="F28" i="7"/>
  <c r="Q28" i="7"/>
  <c r="M28" i="7"/>
  <c r="I28" i="7"/>
  <c r="E28" i="7"/>
  <c r="I29" i="7"/>
  <c r="F32" i="7"/>
  <c r="Q32" i="7"/>
  <c r="F34" i="7"/>
  <c r="P37" i="7"/>
  <c r="L37" i="7"/>
  <c r="H37" i="7"/>
  <c r="D37" i="7"/>
  <c r="O37" i="7"/>
  <c r="J37" i="7"/>
  <c r="E37" i="7"/>
  <c r="S37" i="7"/>
  <c r="N37" i="7"/>
  <c r="I37" i="7"/>
  <c r="C37" i="7"/>
  <c r="M37" i="7"/>
  <c r="Q38" i="7"/>
  <c r="M38" i="7"/>
  <c r="I38" i="7"/>
  <c r="E38" i="7"/>
  <c r="P38" i="7"/>
  <c r="K38" i="7"/>
  <c r="F38" i="7"/>
  <c r="O38" i="7"/>
  <c r="J38" i="7"/>
  <c r="D38" i="7"/>
  <c r="L38" i="7"/>
  <c r="K39" i="7"/>
  <c r="S40" i="7"/>
  <c r="O40" i="7"/>
  <c r="K40" i="7"/>
  <c r="G40" i="7"/>
  <c r="C40" i="7"/>
  <c r="P40" i="7"/>
  <c r="J40" i="7"/>
  <c r="E40" i="7"/>
  <c r="N40" i="7"/>
  <c r="I40" i="7"/>
  <c r="D40" i="7"/>
  <c r="M40" i="7"/>
  <c r="E48" i="7"/>
  <c r="P52" i="7"/>
  <c r="L52" i="7"/>
  <c r="H52" i="7"/>
  <c r="D52" i="7"/>
  <c r="S52" i="7"/>
  <c r="O52" i="7"/>
  <c r="K52" i="7"/>
  <c r="G52" i="7"/>
  <c r="C52" i="7"/>
  <c r="Q52" i="7"/>
  <c r="I52" i="7"/>
  <c r="N52" i="7"/>
  <c r="F52" i="7"/>
  <c r="M52" i="7"/>
  <c r="E52" i="7"/>
  <c r="R8" i="7"/>
  <c r="N8" i="7"/>
  <c r="J8" i="7"/>
  <c r="F8" i="7"/>
  <c r="Q15" i="7"/>
  <c r="M15" i="7"/>
  <c r="I15" i="7"/>
  <c r="E15" i="7"/>
  <c r="G15" i="7"/>
  <c r="L15" i="7"/>
  <c r="R15" i="7"/>
  <c r="S36" i="7"/>
  <c r="O36" i="7"/>
  <c r="K36" i="7"/>
  <c r="G36" i="7"/>
  <c r="C36" i="7"/>
  <c r="R36" i="7"/>
  <c r="M36" i="7"/>
  <c r="H36" i="7"/>
  <c r="Q36" i="7"/>
  <c r="L36" i="7"/>
  <c r="F36" i="7"/>
  <c r="S21" i="7"/>
  <c r="O21" i="7"/>
  <c r="K21" i="7"/>
  <c r="G21" i="7"/>
  <c r="C21" i="7"/>
  <c r="R21" i="7"/>
  <c r="N21" i="7"/>
  <c r="J21" i="7"/>
  <c r="F21" i="7"/>
  <c r="S29" i="7"/>
  <c r="O29" i="7"/>
  <c r="K29" i="7"/>
  <c r="G29" i="7"/>
  <c r="C29" i="7"/>
  <c r="R29" i="7"/>
  <c r="N29" i="7"/>
  <c r="J29" i="7"/>
  <c r="F29" i="7"/>
  <c r="H32" i="7"/>
  <c r="Q34" i="7"/>
  <c r="M34" i="7"/>
  <c r="I34" i="7"/>
  <c r="E34" i="7"/>
  <c r="S34" i="7"/>
  <c r="N34" i="7"/>
  <c r="H34" i="7"/>
  <c r="C34" i="7"/>
  <c r="R34" i="7"/>
  <c r="L34" i="7"/>
  <c r="G34" i="7"/>
  <c r="D36" i="7"/>
  <c r="N36" i="7"/>
  <c r="D39" i="7"/>
  <c r="O39" i="7"/>
  <c r="Q63" i="7"/>
  <c r="M63" i="7"/>
  <c r="I63" i="7"/>
  <c r="E63" i="7"/>
  <c r="P63" i="7"/>
  <c r="L63" i="7"/>
  <c r="H63" i="7"/>
  <c r="D63" i="7"/>
  <c r="O63" i="7"/>
  <c r="G63" i="7"/>
  <c r="N63" i="7"/>
  <c r="F63" i="7"/>
  <c r="S63" i="7"/>
  <c r="K63" i="7"/>
  <c r="C63" i="7"/>
  <c r="R63" i="7"/>
  <c r="J63" i="7"/>
  <c r="S32" i="7"/>
  <c r="O32" i="7"/>
  <c r="K32" i="7"/>
  <c r="G32" i="7"/>
  <c r="C32" i="7"/>
  <c r="P32" i="7"/>
  <c r="J32" i="7"/>
  <c r="E32" i="7"/>
  <c r="N32" i="7"/>
  <c r="I32" i="7"/>
  <c r="D32" i="7"/>
  <c r="M32" i="7"/>
  <c r="P48" i="7"/>
  <c r="L48" i="7"/>
  <c r="H48" i="7"/>
  <c r="D48" i="7"/>
  <c r="S48" i="7"/>
  <c r="O48" i="7"/>
  <c r="K48" i="7"/>
  <c r="G48" i="7"/>
  <c r="C48" i="7"/>
  <c r="Q48" i="7"/>
  <c r="I48" i="7"/>
  <c r="N48" i="7"/>
  <c r="F48" i="7"/>
  <c r="R48" i="7"/>
  <c r="G8" i="7"/>
  <c r="L8" i="7"/>
  <c r="Q8" i="7"/>
  <c r="R12" i="7"/>
  <c r="N12" i="7"/>
  <c r="J12" i="7"/>
  <c r="F12" i="7"/>
  <c r="D15" i="7"/>
  <c r="J15" i="7"/>
  <c r="O15" i="7"/>
  <c r="G16" i="7"/>
  <c r="L16" i="7"/>
  <c r="Q16" i="7"/>
  <c r="S25" i="7"/>
  <c r="O25" i="7"/>
  <c r="K25" i="7"/>
  <c r="G25" i="7"/>
  <c r="C25" i="7"/>
  <c r="R25" i="7"/>
  <c r="N25" i="7"/>
  <c r="J25" i="7"/>
  <c r="F25" i="7"/>
  <c r="C8" i="7"/>
  <c r="H8" i="7"/>
  <c r="M8" i="7"/>
  <c r="S8" i="7"/>
  <c r="P10" i="7"/>
  <c r="L10" i="7"/>
  <c r="H10" i="7"/>
  <c r="D10" i="7"/>
  <c r="G10" i="7"/>
  <c r="M10" i="7"/>
  <c r="R10" i="7"/>
  <c r="E12" i="7"/>
  <c r="K12" i="7"/>
  <c r="P12" i="7"/>
  <c r="E14" i="7"/>
  <c r="J14" i="7"/>
  <c r="O14" i="7"/>
  <c r="F15" i="7"/>
  <c r="K15" i="7"/>
  <c r="P15" i="7"/>
  <c r="C16" i="7"/>
  <c r="H16" i="7"/>
  <c r="M16" i="7"/>
  <c r="S16" i="7"/>
  <c r="P18" i="7"/>
  <c r="L18" i="7"/>
  <c r="H18" i="7"/>
  <c r="D18" i="7"/>
  <c r="S18" i="7"/>
  <c r="G18" i="7"/>
  <c r="M18" i="7"/>
  <c r="R18" i="7"/>
  <c r="F19" i="7"/>
  <c r="N19" i="7"/>
  <c r="H20" i="7"/>
  <c r="P20" i="7"/>
  <c r="E21" i="7"/>
  <c r="M21" i="7"/>
  <c r="P22" i="7"/>
  <c r="L22" i="7"/>
  <c r="H22" i="7"/>
  <c r="D22" i="7"/>
  <c r="S22" i="7"/>
  <c r="O22" i="7"/>
  <c r="K22" i="7"/>
  <c r="G22" i="7"/>
  <c r="C22" i="7"/>
  <c r="J22" i="7"/>
  <c r="R22" i="7"/>
  <c r="F23" i="7"/>
  <c r="N23" i="7"/>
  <c r="H24" i="7"/>
  <c r="P24" i="7"/>
  <c r="E25" i="7"/>
  <c r="M25" i="7"/>
  <c r="P26" i="7"/>
  <c r="L26" i="7"/>
  <c r="H26" i="7"/>
  <c r="D26" i="7"/>
  <c r="S26" i="7"/>
  <c r="O26" i="7"/>
  <c r="K26" i="7"/>
  <c r="G26" i="7"/>
  <c r="C26" i="7"/>
  <c r="J26" i="7"/>
  <c r="R26" i="7"/>
  <c r="F27" i="7"/>
  <c r="N27" i="7"/>
  <c r="H28" i="7"/>
  <c r="P28" i="7"/>
  <c r="E29" i="7"/>
  <c r="M29" i="7"/>
  <c r="Q30" i="7"/>
  <c r="P30" i="7"/>
  <c r="L30" i="7"/>
  <c r="H30" i="7"/>
  <c r="D30" i="7"/>
  <c r="O30" i="7"/>
  <c r="K30" i="7"/>
  <c r="G30" i="7"/>
  <c r="C30" i="7"/>
  <c r="J30" i="7"/>
  <c r="S30" i="7"/>
  <c r="R31" i="7"/>
  <c r="N31" i="7"/>
  <c r="J31" i="7"/>
  <c r="F31" i="7"/>
  <c r="S31" i="7"/>
  <c r="M31" i="7"/>
  <c r="H31" i="7"/>
  <c r="C31" i="7"/>
  <c r="Q31" i="7"/>
  <c r="L31" i="7"/>
  <c r="G31" i="7"/>
  <c r="L32" i="7"/>
  <c r="K34" i="7"/>
  <c r="E36" i="7"/>
  <c r="P36" i="7"/>
  <c r="G37" i="7"/>
  <c r="R37" i="7"/>
  <c r="G38" i="7"/>
  <c r="R38" i="7"/>
  <c r="E39" i="7"/>
  <c r="P39" i="7"/>
  <c r="H40" i="7"/>
  <c r="R40" i="7"/>
  <c r="Q42" i="7"/>
  <c r="M42" i="7"/>
  <c r="I42" i="7"/>
  <c r="E42" i="7"/>
  <c r="S42" i="7"/>
  <c r="N42" i="7"/>
  <c r="H42" i="7"/>
  <c r="C42" i="7"/>
  <c r="R42" i="7"/>
  <c r="L42" i="7"/>
  <c r="G42" i="7"/>
  <c r="P44" i="7"/>
  <c r="L44" i="7"/>
  <c r="H44" i="7"/>
  <c r="D44" i="7"/>
  <c r="S44" i="7"/>
  <c r="O44" i="7"/>
  <c r="K44" i="7"/>
  <c r="G44" i="7"/>
  <c r="C44" i="7"/>
  <c r="Q44" i="7"/>
  <c r="I44" i="7"/>
  <c r="N44" i="7"/>
  <c r="F44" i="7"/>
  <c r="R44" i="7"/>
  <c r="M48" i="7"/>
  <c r="R52" i="7"/>
  <c r="R35" i="7"/>
  <c r="N35" i="7"/>
  <c r="J35" i="7"/>
  <c r="F35" i="7"/>
  <c r="Q45" i="7"/>
  <c r="M45" i="7"/>
  <c r="I45" i="7"/>
  <c r="E45" i="7"/>
  <c r="P45" i="7"/>
  <c r="L45" i="7"/>
  <c r="H45" i="7"/>
  <c r="D45" i="7"/>
  <c r="J45" i="7"/>
  <c r="R45" i="7"/>
  <c r="R46" i="7"/>
  <c r="N46" i="7"/>
  <c r="J46" i="7"/>
  <c r="F46" i="7"/>
  <c r="Q46" i="7"/>
  <c r="M46" i="7"/>
  <c r="I46" i="7"/>
  <c r="E46" i="7"/>
  <c r="Q49" i="7"/>
  <c r="M49" i="7"/>
  <c r="I49" i="7"/>
  <c r="E49" i="7"/>
  <c r="P49" i="7"/>
  <c r="L49" i="7"/>
  <c r="H49" i="7"/>
  <c r="D49" i="7"/>
  <c r="J49" i="7"/>
  <c r="R49" i="7"/>
  <c r="R50" i="7"/>
  <c r="N50" i="7"/>
  <c r="J50" i="7"/>
  <c r="F50" i="7"/>
  <c r="Q50" i="7"/>
  <c r="M50" i="7"/>
  <c r="I50" i="7"/>
  <c r="E50" i="7"/>
  <c r="Q53" i="7"/>
  <c r="M53" i="7"/>
  <c r="I53" i="7"/>
  <c r="E53" i="7"/>
  <c r="P53" i="7"/>
  <c r="L53" i="7"/>
  <c r="H53" i="7"/>
  <c r="D53" i="7"/>
  <c r="J53" i="7"/>
  <c r="R53" i="7"/>
  <c r="R54" i="7"/>
  <c r="N54" i="7"/>
  <c r="J54" i="7"/>
  <c r="F54" i="7"/>
  <c r="Q54" i="7"/>
  <c r="M54" i="7"/>
  <c r="I54" i="7"/>
  <c r="E54" i="7"/>
  <c r="Q57" i="7"/>
  <c r="M57" i="7"/>
  <c r="I57" i="7"/>
  <c r="E57" i="7"/>
  <c r="P57" i="7"/>
  <c r="L57" i="7"/>
  <c r="H57" i="7"/>
  <c r="D57" i="7"/>
  <c r="S57" i="7"/>
  <c r="O57" i="7"/>
  <c r="K57" i="7"/>
  <c r="G57" i="7"/>
  <c r="C57" i="7"/>
  <c r="R57" i="7"/>
  <c r="R64" i="7"/>
  <c r="N64" i="7"/>
  <c r="J64" i="7"/>
  <c r="F64" i="7"/>
  <c r="Q64" i="7"/>
  <c r="M64" i="7"/>
  <c r="I64" i="7"/>
  <c r="E64" i="7"/>
  <c r="S64" i="7"/>
  <c r="K64" i="7"/>
  <c r="C64" i="7"/>
  <c r="P64" i="7"/>
  <c r="H64" i="7"/>
  <c r="O64" i="7"/>
  <c r="G64" i="7"/>
  <c r="Q67" i="7"/>
  <c r="M67" i="7"/>
  <c r="I67" i="7"/>
  <c r="E67" i="7"/>
  <c r="P67" i="7"/>
  <c r="L67" i="7"/>
  <c r="H67" i="7"/>
  <c r="D67" i="7"/>
  <c r="O67" i="7"/>
  <c r="G67" i="7"/>
  <c r="N67" i="7"/>
  <c r="F67" i="7"/>
  <c r="S67" i="7"/>
  <c r="K67" i="7"/>
  <c r="C67" i="7"/>
  <c r="P69" i="7"/>
  <c r="L69" i="7"/>
  <c r="H69" i="7"/>
  <c r="D69" i="7"/>
  <c r="S69" i="7"/>
  <c r="O69" i="7"/>
  <c r="K69" i="7"/>
  <c r="G69" i="7"/>
  <c r="C69" i="7"/>
  <c r="R69" i="7"/>
  <c r="N69" i="7"/>
  <c r="J69" i="7"/>
  <c r="F69" i="7"/>
  <c r="Q69" i="7"/>
  <c r="M69" i="7"/>
  <c r="I69" i="7"/>
  <c r="P33" i="7"/>
  <c r="L33" i="7"/>
  <c r="H33" i="7"/>
  <c r="D33" i="7"/>
  <c r="G33" i="7"/>
  <c r="M33" i="7"/>
  <c r="R33" i="7"/>
  <c r="E35" i="7"/>
  <c r="K35" i="7"/>
  <c r="P35" i="7"/>
  <c r="P41" i="7"/>
  <c r="L41" i="7"/>
  <c r="H41" i="7"/>
  <c r="D41" i="7"/>
  <c r="G41" i="7"/>
  <c r="M41" i="7"/>
  <c r="R41" i="7"/>
  <c r="S43" i="7"/>
  <c r="O43" i="7"/>
  <c r="K43" i="7"/>
  <c r="R43" i="7"/>
  <c r="N43" i="7"/>
  <c r="J43" i="7"/>
  <c r="F43" i="7"/>
  <c r="C45" i="7"/>
  <c r="K45" i="7"/>
  <c r="S45" i="7"/>
  <c r="G46" i="7"/>
  <c r="O46" i="7"/>
  <c r="S47" i="7"/>
  <c r="O47" i="7"/>
  <c r="K47" i="7"/>
  <c r="G47" i="7"/>
  <c r="C47" i="7"/>
  <c r="R47" i="7"/>
  <c r="N47" i="7"/>
  <c r="J47" i="7"/>
  <c r="F47" i="7"/>
  <c r="C49" i="7"/>
  <c r="K49" i="7"/>
  <c r="S49" i="7"/>
  <c r="G50" i="7"/>
  <c r="O50" i="7"/>
  <c r="S51" i="7"/>
  <c r="O51" i="7"/>
  <c r="K51" i="7"/>
  <c r="G51" i="7"/>
  <c r="C51" i="7"/>
  <c r="R51" i="7"/>
  <c r="N51" i="7"/>
  <c r="J51" i="7"/>
  <c r="F51" i="7"/>
  <c r="C53" i="7"/>
  <c r="K53" i="7"/>
  <c r="S53" i="7"/>
  <c r="G54" i="7"/>
  <c r="O54" i="7"/>
  <c r="S55" i="7"/>
  <c r="O55" i="7"/>
  <c r="K55" i="7"/>
  <c r="G55" i="7"/>
  <c r="C55" i="7"/>
  <c r="R55" i="7"/>
  <c r="N55" i="7"/>
  <c r="J55" i="7"/>
  <c r="F55" i="7"/>
  <c r="F57" i="7"/>
  <c r="Q59" i="7"/>
  <c r="M59" i="7"/>
  <c r="I59" i="7"/>
  <c r="R59" i="7"/>
  <c r="L59" i="7"/>
  <c r="G59" i="7"/>
  <c r="C59" i="7"/>
  <c r="P59" i="7"/>
  <c r="K59" i="7"/>
  <c r="F59" i="7"/>
  <c r="O59" i="7"/>
  <c r="J59" i="7"/>
  <c r="E59" i="7"/>
  <c r="S61" i="7"/>
  <c r="O61" i="7"/>
  <c r="K61" i="7"/>
  <c r="G61" i="7"/>
  <c r="C61" i="7"/>
  <c r="Q61" i="7"/>
  <c r="L61" i="7"/>
  <c r="F61" i="7"/>
  <c r="P61" i="7"/>
  <c r="J61" i="7"/>
  <c r="E61" i="7"/>
  <c r="N61" i="7"/>
  <c r="I61" i="7"/>
  <c r="D61" i="7"/>
  <c r="F56" i="7"/>
  <c r="J56" i="7"/>
  <c r="N56" i="7"/>
  <c r="R56" i="7"/>
  <c r="D58" i="7"/>
  <c r="H58" i="7"/>
  <c r="L58" i="7"/>
  <c r="P58" i="7"/>
  <c r="G60" i="7"/>
  <c r="L60" i="7"/>
  <c r="Q60" i="7"/>
  <c r="S65" i="7"/>
  <c r="O65" i="7"/>
  <c r="K65" i="7"/>
  <c r="G65" i="7"/>
  <c r="C65" i="7"/>
  <c r="R65" i="7"/>
  <c r="N65" i="7"/>
  <c r="J65" i="7"/>
  <c r="F65" i="7"/>
  <c r="I66" i="7"/>
  <c r="L68" i="7"/>
  <c r="Q70" i="7"/>
  <c r="M70" i="7"/>
  <c r="I70" i="7"/>
  <c r="E70" i="7"/>
  <c r="P70" i="7"/>
  <c r="L70" i="7"/>
  <c r="H70" i="7"/>
  <c r="D70" i="7"/>
  <c r="S70" i="7"/>
  <c r="O70" i="7"/>
  <c r="K70" i="7"/>
  <c r="G70" i="7"/>
  <c r="C70" i="7"/>
  <c r="R70" i="7"/>
  <c r="Q74" i="7"/>
  <c r="M74" i="7"/>
  <c r="I74" i="7"/>
  <c r="E74" i="7"/>
  <c r="P74" i="7"/>
  <c r="L74" i="7"/>
  <c r="H74" i="7"/>
  <c r="D74" i="7"/>
  <c r="S74" i="7"/>
  <c r="O74" i="7"/>
  <c r="K74" i="7"/>
  <c r="G74" i="7"/>
  <c r="C74" i="7"/>
  <c r="R74" i="7"/>
  <c r="M77" i="7"/>
  <c r="C56" i="7"/>
  <c r="G56" i="7"/>
  <c r="K56" i="7"/>
  <c r="O56" i="7"/>
  <c r="S56" i="7"/>
  <c r="E58" i="7"/>
  <c r="I58" i="7"/>
  <c r="M58" i="7"/>
  <c r="Q58" i="7"/>
  <c r="C60" i="7"/>
  <c r="H60" i="7"/>
  <c r="M60" i="7"/>
  <c r="P62" i="7"/>
  <c r="L62" i="7"/>
  <c r="H62" i="7"/>
  <c r="D62" i="7"/>
  <c r="S62" i="7"/>
  <c r="O62" i="7"/>
  <c r="K62" i="7"/>
  <c r="G62" i="7"/>
  <c r="C62" i="7"/>
  <c r="J62" i="7"/>
  <c r="R62" i="7"/>
  <c r="P66" i="7"/>
  <c r="L66" i="7"/>
  <c r="H66" i="7"/>
  <c r="D66" i="7"/>
  <c r="S66" i="7"/>
  <c r="O66" i="7"/>
  <c r="K66" i="7"/>
  <c r="G66" i="7"/>
  <c r="C66" i="7"/>
  <c r="J66" i="7"/>
  <c r="R66" i="7"/>
  <c r="S72" i="7"/>
  <c r="O72" i="7"/>
  <c r="K72" i="7"/>
  <c r="G72" i="7"/>
  <c r="C72" i="7"/>
  <c r="R72" i="7"/>
  <c r="N72" i="7"/>
  <c r="J72" i="7"/>
  <c r="F72" i="7"/>
  <c r="Q72" i="7"/>
  <c r="M72" i="7"/>
  <c r="I72" i="7"/>
  <c r="E72" i="7"/>
  <c r="S76" i="7"/>
  <c r="O76" i="7"/>
  <c r="K76" i="7"/>
  <c r="G76" i="7"/>
  <c r="C76" i="7"/>
  <c r="R76" i="7"/>
  <c r="N76" i="7"/>
  <c r="J76" i="7"/>
  <c r="F76" i="7"/>
  <c r="Q76" i="7"/>
  <c r="M76" i="7"/>
  <c r="I76" i="7"/>
  <c r="E76" i="7"/>
  <c r="D56" i="7"/>
  <c r="H56" i="7"/>
  <c r="L56" i="7"/>
  <c r="F58" i="7"/>
  <c r="J58" i="7"/>
  <c r="N58" i="7"/>
  <c r="R60" i="7"/>
  <c r="N60" i="7"/>
  <c r="J60" i="7"/>
  <c r="F60" i="7"/>
  <c r="S68" i="7"/>
  <c r="O68" i="7"/>
  <c r="K68" i="7"/>
  <c r="G68" i="7"/>
  <c r="C68" i="7"/>
  <c r="R68" i="7"/>
  <c r="N68" i="7"/>
  <c r="J68" i="7"/>
  <c r="F68" i="7"/>
  <c r="Q68" i="7"/>
  <c r="M68" i="7"/>
  <c r="I68" i="7"/>
  <c r="E68" i="7"/>
  <c r="P77" i="7"/>
  <c r="L77" i="7"/>
  <c r="H77" i="7"/>
  <c r="D77" i="7"/>
  <c r="S77" i="7"/>
  <c r="O77" i="7"/>
  <c r="K77" i="7"/>
  <c r="G77" i="7"/>
  <c r="C77" i="7"/>
  <c r="R77" i="7"/>
  <c r="N77" i="7"/>
  <c r="J77" i="7"/>
  <c r="F77" i="7"/>
  <c r="D71" i="7"/>
  <c r="H71" i="7"/>
  <c r="L71" i="7"/>
  <c r="P71" i="7"/>
  <c r="F73" i="7"/>
  <c r="J73" i="7"/>
  <c r="N73" i="7"/>
  <c r="R73" i="7"/>
  <c r="D75" i="7"/>
  <c r="H75" i="7"/>
  <c r="L75" i="7"/>
  <c r="P75" i="7"/>
  <c r="E71" i="7"/>
  <c r="I71" i="7"/>
  <c r="M71" i="7"/>
  <c r="Q71" i="7"/>
  <c r="C73" i="7"/>
  <c r="G73" i="7"/>
  <c r="K73" i="7"/>
  <c r="O73" i="7"/>
  <c r="E75" i="7"/>
  <c r="I75" i="7"/>
  <c r="M75" i="7"/>
  <c r="Q75" i="7"/>
  <c r="F71" i="7"/>
  <c r="J71" i="7"/>
  <c r="N71" i="7"/>
  <c r="F75" i="7"/>
  <c r="J75" i="7"/>
  <c r="N75" i="7"/>
  <c r="AA77" i="5"/>
  <c r="A77" i="5" s="1"/>
  <c r="X77" i="5"/>
  <c r="W77" i="5"/>
  <c r="V77" i="5"/>
  <c r="U77" i="5"/>
  <c r="AA76" i="5"/>
  <c r="A76" i="5" s="1"/>
  <c r="X76" i="5"/>
  <c r="W76" i="5"/>
  <c r="V76" i="5"/>
  <c r="U76" i="5"/>
  <c r="AA75" i="5"/>
  <c r="X75" i="5"/>
  <c r="W75" i="5"/>
  <c r="V75" i="5"/>
  <c r="U75" i="5"/>
  <c r="A75" i="5"/>
  <c r="R75" i="5" s="1"/>
  <c r="AA74" i="5"/>
  <c r="X74" i="5"/>
  <c r="W74" i="5"/>
  <c r="V74" i="5"/>
  <c r="U74" i="5"/>
  <c r="Q74" i="5"/>
  <c r="M74" i="5"/>
  <c r="I74" i="5"/>
  <c r="E74" i="5"/>
  <c r="A74" i="5"/>
  <c r="P74" i="5" s="1"/>
  <c r="AA73" i="5"/>
  <c r="A73" i="5" s="1"/>
  <c r="X73" i="5"/>
  <c r="W73" i="5"/>
  <c r="V73" i="5"/>
  <c r="U73" i="5"/>
  <c r="AA72" i="5"/>
  <c r="A72" i="5" s="1"/>
  <c r="X72" i="5"/>
  <c r="W72" i="5"/>
  <c r="V72" i="5"/>
  <c r="U72" i="5"/>
  <c r="AA71" i="5"/>
  <c r="X71" i="5"/>
  <c r="W71" i="5"/>
  <c r="V71" i="5"/>
  <c r="U71" i="5"/>
  <c r="A71" i="5"/>
  <c r="R71" i="5" s="1"/>
  <c r="AA70" i="5"/>
  <c r="X70" i="5"/>
  <c r="W70" i="5"/>
  <c r="V70" i="5"/>
  <c r="U70" i="5"/>
  <c r="Q70" i="5"/>
  <c r="M70" i="5"/>
  <c r="I70" i="5"/>
  <c r="E70" i="5"/>
  <c r="A70" i="5"/>
  <c r="P70" i="5" s="1"/>
  <c r="AA69" i="5"/>
  <c r="A69" i="5" s="1"/>
  <c r="L69" i="5" s="1"/>
  <c r="X69" i="5"/>
  <c r="W69" i="5"/>
  <c r="V69" i="5"/>
  <c r="U69" i="5"/>
  <c r="P69" i="5"/>
  <c r="H69" i="5"/>
  <c r="D69" i="5"/>
  <c r="AA68" i="5"/>
  <c r="A68" i="5" s="1"/>
  <c r="S68" i="5" s="1"/>
  <c r="X68" i="5"/>
  <c r="W68" i="5"/>
  <c r="V68" i="5"/>
  <c r="U68" i="5"/>
  <c r="O68" i="5"/>
  <c r="G68" i="5"/>
  <c r="AA67" i="5"/>
  <c r="X67" i="5"/>
  <c r="W67" i="5"/>
  <c r="V67" i="5"/>
  <c r="U67" i="5"/>
  <c r="N67" i="5"/>
  <c r="F67" i="5"/>
  <c r="A67" i="5"/>
  <c r="J67" i="5" s="1"/>
  <c r="AA66" i="5"/>
  <c r="X66" i="5"/>
  <c r="W66" i="5"/>
  <c r="V66" i="5"/>
  <c r="U66" i="5"/>
  <c r="Q66" i="5"/>
  <c r="M66" i="5"/>
  <c r="I66" i="5"/>
  <c r="E66" i="5"/>
  <c r="A66" i="5"/>
  <c r="P66" i="5" s="1"/>
  <c r="AA65" i="5"/>
  <c r="A65" i="5" s="1"/>
  <c r="X65" i="5"/>
  <c r="W65" i="5"/>
  <c r="V65" i="5"/>
  <c r="U65" i="5"/>
  <c r="L65" i="5"/>
  <c r="D65" i="5"/>
  <c r="AA64" i="5"/>
  <c r="A64" i="5" s="1"/>
  <c r="O64" i="5" s="1"/>
  <c r="X64" i="5"/>
  <c r="W64" i="5"/>
  <c r="V64" i="5"/>
  <c r="U64" i="5"/>
  <c r="S64" i="5"/>
  <c r="K64" i="5"/>
  <c r="G64" i="5"/>
  <c r="C64" i="5"/>
  <c r="AA63" i="5"/>
  <c r="X63" i="5"/>
  <c r="W63" i="5"/>
  <c r="V63" i="5"/>
  <c r="U63" i="5"/>
  <c r="J63" i="5"/>
  <c r="A63" i="5"/>
  <c r="AA62" i="5"/>
  <c r="X62" i="5"/>
  <c r="W62" i="5"/>
  <c r="V62" i="5"/>
  <c r="U62" i="5"/>
  <c r="A62" i="5"/>
  <c r="Q62" i="5" s="1"/>
  <c r="AA61" i="5"/>
  <c r="X61" i="5"/>
  <c r="W61" i="5"/>
  <c r="V61" i="5"/>
  <c r="U61" i="5"/>
  <c r="P61" i="5"/>
  <c r="J61" i="5"/>
  <c r="E61" i="5"/>
  <c r="A61" i="5"/>
  <c r="AA60" i="5"/>
  <c r="A60" i="5" s="1"/>
  <c r="Q60" i="5" s="1"/>
  <c r="X60" i="5"/>
  <c r="W60" i="5"/>
  <c r="V60" i="5"/>
  <c r="U60" i="5"/>
  <c r="S60" i="5"/>
  <c r="P60" i="5"/>
  <c r="O60" i="5"/>
  <c r="M60" i="5"/>
  <c r="K60" i="5"/>
  <c r="I60" i="5"/>
  <c r="H60" i="5"/>
  <c r="E60" i="5"/>
  <c r="D60" i="5"/>
  <c r="C60" i="5"/>
  <c r="AA59" i="5"/>
  <c r="X59" i="5"/>
  <c r="W59" i="5"/>
  <c r="V59" i="5"/>
  <c r="U59" i="5"/>
  <c r="A59" i="5"/>
  <c r="O59" i="5" s="1"/>
  <c r="AA58" i="5"/>
  <c r="X58" i="5"/>
  <c r="W58" i="5"/>
  <c r="V58" i="5"/>
  <c r="U58" i="5"/>
  <c r="S58" i="5"/>
  <c r="Q58" i="5"/>
  <c r="O58" i="5"/>
  <c r="M58" i="5"/>
  <c r="K58" i="5"/>
  <c r="I58" i="5"/>
  <c r="G58" i="5"/>
  <c r="E58" i="5"/>
  <c r="C58" i="5"/>
  <c r="A58" i="5"/>
  <c r="R58" i="5" s="1"/>
  <c r="AA57" i="5"/>
  <c r="A57" i="5" s="1"/>
  <c r="X57" i="5"/>
  <c r="W57" i="5"/>
  <c r="V57" i="5"/>
  <c r="U57" i="5"/>
  <c r="P57" i="5"/>
  <c r="H57" i="5"/>
  <c r="D57" i="5"/>
  <c r="AA56" i="5"/>
  <c r="A56" i="5" s="1"/>
  <c r="S56" i="5" s="1"/>
  <c r="X56" i="5"/>
  <c r="W56" i="5"/>
  <c r="V56" i="5"/>
  <c r="U56" i="5"/>
  <c r="G56" i="5"/>
  <c r="AA55" i="5"/>
  <c r="X55" i="5"/>
  <c r="W55" i="5"/>
  <c r="V55" i="5"/>
  <c r="U55" i="5"/>
  <c r="N55" i="5"/>
  <c r="A55" i="5"/>
  <c r="AA54" i="5"/>
  <c r="X54" i="5"/>
  <c r="W54" i="5"/>
  <c r="V54" i="5"/>
  <c r="U54" i="5"/>
  <c r="S54" i="5"/>
  <c r="Q54" i="5"/>
  <c r="O54" i="5"/>
  <c r="M54" i="5"/>
  <c r="K54" i="5"/>
  <c r="I54" i="5"/>
  <c r="G54" i="5"/>
  <c r="E54" i="5"/>
  <c r="C54" i="5"/>
  <c r="A54" i="5"/>
  <c r="R54" i="5" s="1"/>
  <c r="AA53" i="5"/>
  <c r="X53" i="5"/>
  <c r="W53" i="5"/>
  <c r="V53" i="5"/>
  <c r="U53" i="5"/>
  <c r="A53" i="5"/>
  <c r="P53" i="5" s="1"/>
  <c r="AA52" i="5"/>
  <c r="A52" i="5" s="1"/>
  <c r="X52" i="5"/>
  <c r="W52" i="5"/>
  <c r="V52" i="5"/>
  <c r="U52" i="5"/>
  <c r="S52" i="5"/>
  <c r="Q52" i="5"/>
  <c r="O52" i="5"/>
  <c r="M52" i="5"/>
  <c r="K52" i="5"/>
  <c r="I52" i="5"/>
  <c r="G52" i="5"/>
  <c r="E52" i="5"/>
  <c r="C52" i="5"/>
  <c r="AA51" i="5"/>
  <c r="X51" i="5"/>
  <c r="W51" i="5"/>
  <c r="V51" i="5"/>
  <c r="U51" i="5"/>
  <c r="A51" i="5"/>
  <c r="P51" i="5" s="1"/>
  <c r="AA50" i="5"/>
  <c r="X50" i="5"/>
  <c r="W50" i="5"/>
  <c r="V50" i="5"/>
  <c r="U50" i="5"/>
  <c r="S50" i="5"/>
  <c r="Q50" i="5"/>
  <c r="O50" i="5"/>
  <c r="M50" i="5"/>
  <c r="K50" i="5"/>
  <c r="I50" i="5"/>
  <c r="G50" i="5"/>
  <c r="E50" i="5"/>
  <c r="C50" i="5"/>
  <c r="A50" i="5"/>
  <c r="R50" i="5" s="1"/>
  <c r="AA49" i="5"/>
  <c r="A49" i="5" s="1"/>
  <c r="X49" i="5"/>
  <c r="W49" i="5"/>
  <c r="V49" i="5"/>
  <c r="U49" i="5"/>
  <c r="AA48" i="5"/>
  <c r="A48" i="5" s="1"/>
  <c r="S48" i="5" s="1"/>
  <c r="X48" i="5"/>
  <c r="W48" i="5"/>
  <c r="V48" i="5"/>
  <c r="U48" i="5"/>
  <c r="M48" i="5"/>
  <c r="E48" i="5"/>
  <c r="AA47" i="5"/>
  <c r="X47" i="5"/>
  <c r="W47" i="5"/>
  <c r="V47" i="5"/>
  <c r="U47" i="5"/>
  <c r="A47" i="5"/>
  <c r="P47" i="5" s="1"/>
  <c r="AA46" i="5"/>
  <c r="X46" i="5"/>
  <c r="W46" i="5"/>
  <c r="V46" i="5"/>
  <c r="U46" i="5"/>
  <c r="S46" i="5"/>
  <c r="Q46" i="5"/>
  <c r="O46" i="5"/>
  <c r="N46" i="5"/>
  <c r="K46" i="5"/>
  <c r="J46" i="5"/>
  <c r="I46" i="5"/>
  <c r="F46" i="5"/>
  <c r="E46" i="5"/>
  <c r="C46" i="5"/>
  <c r="A46" i="5"/>
  <c r="AA45" i="5"/>
  <c r="A45" i="5" s="1"/>
  <c r="X45" i="5"/>
  <c r="W45" i="5"/>
  <c r="V45" i="5"/>
  <c r="U45" i="5"/>
  <c r="AA44" i="5"/>
  <c r="X44" i="5"/>
  <c r="W44" i="5"/>
  <c r="V44" i="5"/>
  <c r="U44" i="5"/>
  <c r="A44" i="5"/>
  <c r="P44" i="5" s="1"/>
  <c r="AA43" i="5"/>
  <c r="A43" i="5" s="1"/>
  <c r="X43" i="5"/>
  <c r="W43" i="5"/>
  <c r="V43" i="5"/>
  <c r="U43" i="5"/>
  <c r="AA42" i="5"/>
  <c r="X42" i="5"/>
  <c r="W42" i="5"/>
  <c r="V42" i="5"/>
  <c r="U42" i="5"/>
  <c r="A42" i="5"/>
  <c r="R42" i="5" s="1"/>
  <c r="AA41" i="5"/>
  <c r="X41" i="5"/>
  <c r="W41" i="5"/>
  <c r="V41" i="5"/>
  <c r="U41" i="5"/>
  <c r="S41" i="5"/>
  <c r="Q41" i="5"/>
  <c r="O41" i="5"/>
  <c r="M41" i="5"/>
  <c r="K41" i="5"/>
  <c r="I41" i="5"/>
  <c r="G41" i="5"/>
  <c r="E41" i="5"/>
  <c r="C41" i="5"/>
  <c r="A41" i="5"/>
  <c r="P41" i="5" s="1"/>
  <c r="AA40" i="5"/>
  <c r="X40" i="5"/>
  <c r="W40" i="5"/>
  <c r="V40" i="5"/>
  <c r="U40" i="5"/>
  <c r="A40" i="5"/>
  <c r="P40" i="5" s="1"/>
  <c r="AA39" i="5"/>
  <c r="A39" i="5" s="1"/>
  <c r="X39" i="5"/>
  <c r="W39" i="5"/>
  <c r="V39" i="5"/>
  <c r="U39" i="5"/>
  <c r="AA38" i="5"/>
  <c r="X38" i="5"/>
  <c r="W38" i="5"/>
  <c r="V38" i="5"/>
  <c r="U38" i="5"/>
  <c r="P38" i="5"/>
  <c r="L38" i="5"/>
  <c r="H38" i="5"/>
  <c r="D38" i="5"/>
  <c r="A38" i="5"/>
  <c r="R38" i="5" s="1"/>
  <c r="AA37" i="5"/>
  <c r="X37" i="5"/>
  <c r="W37" i="5"/>
  <c r="V37" i="5"/>
  <c r="U37" i="5"/>
  <c r="S37" i="5"/>
  <c r="Q37" i="5"/>
  <c r="O37" i="5"/>
  <c r="M37" i="5"/>
  <c r="K37" i="5"/>
  <c r="I37" i="5"/>
  <c r="G37" i="5"/>
  <c r="E37" i="5"/>
  <c r="C37" i="5"/>
  <c r="A37" i="5"/>
  <c r="P37" i="5" s="1"/>
  <c r="AA36" i="5"/>
  <c r="A36" i="5" s="1"/>
  <c r="X36" i="5"/>
  <c r="W36" i="5"/>
  <c r="V36" i="5"/>
  <c r="U36" i="5"/>
  <c r="AA35" i="5"/>
  <c r="A35" i="5" s="1"/>
  <c r="S35" i="5" s="1"/>
  <c r="X35" i="5"/>
  <c r="W35" i="5"/>
  <c r="V35" i="5"/>
  <c r="U35" i="5"/>
  <c r="M35" i="5"/>
  <c r="E35" i="5"/>
  <c r="AA34" i="5"/>
  <c r="A34" i="5" s="1"/>
  <c r="X34" i="5"/>
  <c r="W34" i="5"/>
  <c r="V34" i="5"/>
  <c r="U34" i="5"/>
  <c r="AA33" i="5"/>
  <c r="X33" i="5"/>
  <c r="W33" i="5"/>
  <c r="V33" i="5"/>
  <c r="U33" i="5"/>
  <c r="S33" i="5"/>
  <c r="Q33" i="5"/>
  <c r="O33" i="5"/>
  <c r="M33" i="5"/>
  <c r="K33" i="5"/>
  <c r="I33" i="5"/>
  <c r="G33" i="5"/>
  <c r="E33" i="5"/>
  <c r="C33" i="5"/>
  <c r="A33" i="5"/>
  <c r="P33" i="5" s="1"/>
  <c r="AA32" i="5"/>
  <c r="X32" i="5"/>
  <c r="W32" i="5"/>
  <c r="V32" i="5"/>
  <c r="U32" i="5"/>
  <c r="A32" i="5"/>
  <c r="P32" i="5" s="1"/>
  <c r="AA31" i="5"/>
  <c r="A31" i="5" s="1"/>
  <c r="X31" i="5"/>
  <c r="W31" i="5"/>
  <c r="V31" i="5"/>
  <c r="U31" i="5"/>
  <c r="S31" i="5"/>
  <c r="Q31" i="5"/>
  <c r="O31" i="5"/>
  <c r="M31" i="5"/>
  <c r="K31" i="5"/>
  <c r="I31" i="5"/>
  <c r="G31" i="5"/>
  <c r="E31" i="5"/>
  <c r="C31" i="5"/>
  <c r="AA30" i="5"/>
  <c r="X30" i="5"/>
  <c r="W30" i="5"/>
  <c r="V30" i="5"/>
  <c r="U30" i="5"/>
  <c r="N30" i="5"/>
  <c r="F30" i="5"/>
  <c r="A30" i="5"/>
  <c r="P30" i="5" s="1"/>
  <c r="AA29" i="5"/>
  <c r="X29" i="5"/>
  <c r="W29" i="5"/>
  <c r="V29" i="5"/>
  <c r="U29" i="5"/>
  <c r="S29" i="5"/>
  <c r="K29" i="5"/>
  <c r="E29" i="5"/>
  <c r="A29" i="5"/>
  <c r="M29" i="5" s="1"/>
  <c r="AA28" i="5"/>
  <c r="X28" i="5"/>
  <c r="W28" i="5"/>
  <c r="V28" i="5"/>
  <c r="U28" i="5"/>
  <c r="A28" i="5"/>
  <c r="AA27" i="5"/>
  <c r="A27" i="5" s="1"/>
  <c r="Q27" i="5" s="1"/>
  <c r="X27" i="5"/>
  <c r="W27" i="5"/>
  <c r="V27" i="5"/>
  <c r="U27" i="5"/>
  <c r="S27" i="5"/>
  <c r="P27" i="5"/>
  <c r="O27" i="5"/>
  <c r="M27" i="5"/>
  <c r="K27" i="5"/>
  <c r="I27" i="5"/>
  <c r="H27" i="5"/>
  <c r="E27" i="5"/>
  <c r="D27" i="5"/>
  <c r="C27" i="5"/>
  <c r="AA26" i="5"/>
  <c r="X26" i="5"/>
  <c r="W26" i="5"/>
  <c r="V26" i="5"/>
  <c r="U26" i="5"/>
  <c r="S26" i="5"/>
  <c r="P26" i="5"/>
  <c r="N26" i="5"/>
  <c r="K26" i="5"/>
  <c r="H26" i="5"/>
  <c r="F26" i="5"/>
  <c r="C26" i="5"/>
  <c r="A26" i="5"/>
  <c r="O26" i="5" s="1"/>
  <c r="AA25" i="5"/>
  <c r="X25" i="5"/>
  <c r="W25" i="5"/>
  <c r="V25" i="5"/>
  <c r="U25" i="5"/>
  <c r="A25" i="5"/>
  <c r="AA24" i="5"/>
  <c r="A24" i="5" s="1"/>
  <c r="X24" i="5"/>
  <c r="W24" i="5"/>
  <c r="V24" i="5"/>
  <c r="U24" i="5"/>
  <c r="AA23" i="5"/>
  <c r="A23" i="5" s="1"/>
  <c r="X23" i="5"/>
  <c r="W23" i="5"/>
  <c r="V23" i="5"/>
  <c r="U23" i="5"/>
  <c r="AA22" i="5"/>
  <c r="X22" i="5"/>
  <c r="W22" i="5"/>
  <c r="V22" i="5"/>
  <c r="U22" i="5"/>
  <c r="S22" i="5"/>
  <c r="Q22" i="5"/>
  <c r="O22" i="5"/>
  <c r="M22" i="5"/>
  <c r="K22" i="5"/>
  <c r="I22" i="5"/>
  <c r="G22" i="5"/>
  <c r="E22" i="5"/>
  <c r="C22" i="5"/>
  <c r="A22" i="5"/>
  <c r="R22" i="5" s="1"/>
  <c r="AA21" i="5"/>
  <c r="X21" i="5"/>
  <c r="W21" i="5"/>
  <c r="V21" i="5"/>
  <c r="U21" i="5"/>
  <c r="A21" i="5"/>
  <c r="Q21" i="5" s="1"/>
  <c r="AA20" i="5"/>
  <c r="A20" i="5" s="1"/>
  <c r="X20" i="5"/>
  <c r="W20" i="5"/>
  <c r="V20" i="5"/>
  <c r="U20" i="5"/>
  <c r="Q20" i="5"/>
  <c r="I20" i="5"/>
  <c r="E20" i="5"/>
  <c r="AA19" i="5"/>
  <c r="A19" i="5" s="1"/>
  <c r="P19" i="5" s="1"/>
  <c r="X19" i="5"/>
  <c r="W19" i="5"/>
  <c r="V19" i="5"/>
  <c r="U19" i="5"/>
  <c r="D19" i="5"/>
  <c r="AA18" i="5"/>
  <c r="X18" i="5"/>
  <c r="W18" i="5"/>
  <c r="V18" i="5"/>
  <c r="U18" i="5"/>
  <c r="S18" i="5"/>
  <c r="Q18" i="5"/>
  <c r="O18" i="5"/>
  <c r="M18" i="5"/>
  <c r="K18" i="5"/>
  <c r="I18" i="5"/>
  <c r="G18" i="5"/>
  <c r="E18" i="5"/>
  <c r="C18" i="5"/>
  <c r="A18" i="5"/>
  <c r="R18" i="5" s="1"/>
  <c r="AA17" i="5"/>
  <c r="X17" i="5"/>
  <c r="W17" i="5"/>
  <c r="V17" i="5"/>
  <c r="U17" i="5"/>
  <c r="N17" i="5"/>
  <c r="J17" i="5"/>
  <c r="F17" i="5"/>
  <c r="A17" i="5"/>
  <c r="AA16" i="5"/>
  <c r="A16" i="5" s="1"/>
  <c r="Q16" i="5" s="1"/>
  <c r="X16" i="5"/>
  <c r="W16" i="5"/>
  <c r="V16" i="5"/>
  <c r="U16" i="5"/>
  <c r="I16" i="5"/>
  <c r="AA15" i="5"/>
  <c r="A15" i="5" s="1"/>
  <c r="X15" i="5"/>
  <c r="W15" i="5"/>
  <c r="V15" i="5"/>
  <c r="U15" i="5"/>
  <c r="AA14" i="5"/>
  <c r="X14" i="5"/>
  <c r="W14" i="5"/>
  <c r="V14" i="5"/>
  <c r="U14" i="5"/>
  <c r="S14" i="5"/>
  <c r="Q14" i="5"/>
  <c r="O14" i="5"/>
  <c r="M14" i="5"/>
  <c r="K14" i="5"/>
  <c r="I14" i="5"/>
  <c r="G14" i="5"/>
  <c r="E14" i="5"/>
  <c r="C14" i="5"/>
  <c r="A14" i="5"/>
  <c r="R14" i="5" s="1"/>
  <c r="AA13" i="5"/>
  <c r="X13" i="5"/>
  <c r="W13" i="5"/>
  <c r="V13" i="5"/>
  <c r="U13" i="5"/>
  <c r="N13" i="5"/>
  <c r="F13" i="5"/>
  <c r="A13" i="5"/>
  <c r="P13" i="5" s="1"/>
  <c r="AA12" i="5"/>
  <c r="A12" i="5" s="1"/>
  <c r="Q12" i="5" s="1"/>
  <c r="X12" i="5"/>
  <c r="W12" i="5"/>
  <c r="V12" i="5"/>
  <c r="U12" i="5"/>
  <c r="S12" i="5"/>
  <c r="O12" i="5"/>
  <c r="M12" i="5"/>
  <c r="K12" i="5"/>
  <c r="I12" i="5"/>
  <c r="G12" i="5"/>
  <c r="E12" i="5"/>
  <c r="C12" i="5"/>
  <c r="AA11" i="5"/>
  <c r="X11" i="5"/>
  <c r="W11" i="5"/>
  <c r="V11" i="5"/>
  <c r="U11" i="5"/>
  <c r="N11" i="5"/>
  <c r="F11" i="5"/>
  <c r="A11" i="5"/>
  <c r="P11" i="5" s="1"/>
  <c r="AA10" i="5"/>
  <c r="X10" i="5"/>
  <c r="W10" i="5"/>
  <c r="V10" i="5"/>
  <c r="U10" i="5"/>
  <c r="S10" i="5"/>
  <c r="Q10" i="5"/>
  <c r="N10" i="5"/>
  <c r="K10" i="5"/>
  <c r="I10" i="5"/>
  <c r="F10" i="5"/>
  <c r="C10" i="5"/>
  <c r="A10" i="5"/>
  <c r="AA9" i="5"/>
  <c r="A9" i="5" s="1"/>
  <c r="X9" i="5"/>
  <c r="W9" i="5"/>
  <c r="V9" i="5"/>
  <c r="U9" i="5"/>
  <c r="AA8" i="5"/>
  <c r="A8" i="5" s="1"/>
  <c r="X8" i="5"/>
  <c r="W8" i="5"/>
  <c r="V8" i="5"/>
  <c r="U8" i="5"/>
  <c r="AA7" i="5"/>
  <c r="X7" i="5"/>
  <c r="W7" i="5"/>
  <c r="V7" i="5"/>
  <c r="U7" i="5"/>
  <c r="S7" i="5"/>
  <c r="Q7" i="5"/>
  <c r="O7" i="5"/>
  <c r="M7" i="5"/>
  <c r="K7" i="5"/>
  <c r="I7" i="5"/>
  <c r="G7" i="5"/>
  <c r="E7" i="5"/>
  <c r="C7" i="5"/>
  <c r="A7" i="5"/>
  <c r="P7" i="5" s="1"/>
  <c r="AA6" i="5"/>
  <c r="X6" i="5"/>
  <c r="W6" i="5"/>
  <c r="V6" i="5"/>
  <c r="U6" i="5"/>
  <c r="A6" i="5"/>
  <c r="S6" i="5" s="1"/>
  <c r="AA5" i="5"/>
  <c r="A5" i="5" s="1"/>
  <c r="X5" i="5"/>
  <c r="W5" i="5"/>
  <c r="V5" i="5"/>
  <c r="U5" i="5"/>
  <c r="A4" i="5"/>
  <c r="S15" i="5" l="1"/>
  <c r="O15" i="5"/>
  <c r="K15" i="5"/>
  <c r="G15" i="5"/>
  <c r="C15" i="5"/>
  <c r="Q15" i="5"/>
  <c r="M15" i="5"/>
  <c r="I15" i="5"/>
  <c r="E15" i="5"/>
  <c r="P15" i="5"/>
  <c r="H15" i="5"/>
  <c r="N15" i="5"/>
  <c r="F15" i="5"/>
  <c r="L15" i="5"/>
  <c r="D15" i="5"/>
  <c r="R15" i="5"/>
  <c r="J15" i="5"/>
  <c r="R8" i="5"/>
  <c r="N8" i="5"/>
  <c r="J8" i="5"/>
  <c r="F8" i="5"/>
  <c r="P8" i="5"/>
  <c r="L8" i="5"/>
  <c r="H8" i="5"/>
  <c r="D8" i="5"/>
  <c r="Q8" i="5"/>
  <c r="M8" i="5"/>
  <c r="I8" i="5"/>
  <c r="E8" i="5"/>
  <c r="S8" i="5"/>
  <c r="O8" i="5"/>
  <c r="K8" i="5"/>
  <c r="G8" i="5"/>
  <c r="C8" i="5"/>
  <c r="S9" i="5"/>
  <c r="O9" i="5"/>
  <c r="K9" i="5"/>
  <c r="G9" i="5"/>
  <c r="C9" i="5"/>
  <c r="N9" i="5"/>
  <c r="I9" i="5"/>
  <c r="D9" i="5"/>
  <c r="R9" i="5"/>
  <c r="M9" i="5"/>
  <c r="H9" i="5"/>
  <c r="Q9" i="5"/>
  <c r="L9" i="5"/>
  <c r="F9" i="5"/>
  <c r="P9" i="5"/>
  <c r="J9" i="5"/>
  <c r="E9" i="5"/>
  <c r="S5" i="5"/>
  <c r="O5" i="5"/>
  <c r="K5" i="5"/>
  <c r="G5" i="5"/>
  <c r="C5" i="5"/>
  <c r="Q5" i="5"/>
  <c r="I5" i="5"/>
  <c r="R5" i="5"/>
  <c r="N5" i="5"/>
  <c r="J5" i="5"/>
  <c r="F5" i="5"/>
  <c r="M5" i="5"/>
  <c r="E5" i="5"/>
  <c r="P5" i="5"/>
  <c r="L5" i="5"/>
  <c r="H5" i="5"/>
  <c r="D5" i="5"/>
  <c r="D6" i="5"/>
  <c r="H6" i="5"/>
  <c r="L6" i="5"/>
  <c r="P6" i="5"/>
  <c r="E6" i="5"/>
  <c r="I6" i="5"/>
  <c r="M6" i="5"/>
  <c r="Q6" i="5"/>
  <c r="F7" i="5"/>
  <c r="J7" i="5"/>
  <c r="N7" i="5"/>
  <c r="R7" i="5"/>
  <c r="P10" i="5"/>
  <c r="L10" i="5"/>
  <c r="H10" i="5"/>
  <c r="D10" i="5"/>
  <c r="G10" i="5"/>
  <c r="M10" i="5"/>
  <c r="R10" i="5"/>
  <c r="D11" i="5"/>
  <c r="L11" i="5"/>
  <c r="D13" i="5"/>
  <c r="L13" i="5"/>
  <c r="G16" i="5"/>
  <c r="H19" i="5"/>
  <c r="P20" i="5"/>
  <c r="L20" i="5"/>
  <c r="H20" i="5"/>
  <c r="D20" i="5"/>
  <c r="S20" i="5"/>
  <c r="O20" i="5"/>
  <c r="K20" i="5"/>
  <c r="G20" i="5"/>
  <c r="C20" i="5"/>
  <c r="R20" i="5"/>
  <c r="N20" i="5"/>
  <c r="J20" i="5"/>
  <c r="F20" i="5"/>
  <c r="Q34" i="5"/>
  <c r="M34" i="5"/>
  <c r="I34" i="5"/>
  <c r="E34" i="5"/>
  <c r="S34" i="5"/>
  <c r="O34" i="5"/>
  <c r="K34" i="5"/>
  <c r="G34" i="5"/>
  <c r="C34" i="5"/>
  <c r="R34" i="5"/>
  <c r="J34" i="5"/>
  <c r="P34" i="5"/>
  <c r="H34" i="5"/>
  <c r="N34" i="5"/>
  <c r="F34" i="5"/>
  <c r="L34" i="5"/>
  <c r="D34" i="5"/>
  <c r="S36" i="5"/>
  <c r="O36" i="5"/>
  <c r="K36" i="5"/>
  <c r="G36" i="5"/>
  <c r="C36" i="5"/>
  <c r="Q36" i="5"/>
  <c r="M36" i="5"/>
  <c r="I36" i="5"/>
  <c r="E36" i="5"/>
  <c r="R36" i="5"/>
  <c r="J36" i="5"/>
  <c r="P36" i="5"/>
  <c r="H36" i="5"/>
  <c r="N36" i="5"/>
  <c r="F36" i="5"/>
  <c r="L36" i="5"/>
  <c r="D36" i="5"/>
  <c r="J6" i="5"/>
  <c r="N6" i="5"/>
  <c r="P16" i="5"/>
  <c r="L16" i="5"/>
  <c r="H16" i="5"/>
  <c r="D16" i="5"/>
  <c r="S16" i="5"/>
  <c r="O16" i="5"/>
  <c r="R16" i="5"/>
  <c r="N16" i="5"/>
  <c r="J16" i="5"/>
  <c r="F16" i="5"/>
  <c r="L19" i="5"/>
  <c r="F6" i="5"/>
  <c r="R6" i="5"/>
  <c r="C6" i="5"/>
  <c r="G6" i="5"/>
  <c r="K6" i="5"/>
  <c r="O6" i="5"/>
  <c r="D7" i="5"/>
  <c r="H7" i="5"/>
  <c r="L7" i="5"/>
  <c r="E10" i="5"/>
  <c r="J10" i="5"/>
  <c r="O10" i="5"/>
  <c r="H11" i="5"/>
  <c r="P12" i="5"/>
  <c r="L12" i="5"/>
  <c r="H12" i="5"/>
  <c r="D12" i="5"/>
  <c r="R12" i="5"/>
  <c r="N12" i="5"/>
  <c r="J12" i="5"/>
  <c r="F12" i="5"/>
  <c r="H13" i="5"/>
  <c r="C16" i="5"/>
  <c r="K16" i="5"/>
  <c r="Q17" i="5"/>
  <c r="M17" i="5"/>
  <c r="I17" i="5"/>
  <c r="E17" i="5"/>
  <c r="P17" i="5"/>
  <c r="L17" i="5"/>
  <c r="H17" i="5"/>
  <c r="D17" i="5"/>
  <c r="S17" i="5"/>
  <c r="O17" i="5"/>
  <c r="K17" i="5"/>
  <c r="G17" i="5"/>
  <c r="C17" i="5"/>
  <c r="R17" i="5"/>
  <c r="M20" i="5"/>
  <c r="S23" i="5"/>
  <c r="O23" i="5"/>
  <c r="K23" i="5"/>
  <c r="G23" i="5"/>
  <c r="C23" i="5"/>
  <c r="R23" i="5"/>
  <c r="N23" i="5"/>
  <c r="J23" i="5"/>
  <c r="F23" i="5"/>
  <c r="Q23" i="5"/>
  <c r="M23" i="5"/>
  <c r="I23" i="5"/>
  <c r="E23" i="5"/>
  <c r="P23" i="5"/>
  <c r="L23" i="5"/>
  <c r="H23" i="5"/>
  <c r="D23" i="5"/>
  <c r="S11" i="5"/>
  <c r="O11" i="5"/>
  <c r="K11" i="5"/>
  <c r="G11" i="5"/>
  <c r="C11" i="5"/>
  <c r="Q11" i="5"/>
  <c r="M11" i="5"/>
  <c r="I11" i="5"/>
  <c r="E11" i="5"/>
  <c r="J11" i="5"/>
  <c r="R11" i="5"/>
  <c r="Q13" i="5"/>
  <c r="M13" i="5"/>
  <c r="I13" i="5"/>
  <c r="E13" i="5"/>
  <c r="S13" i="5"/>
  <c r="O13" i="5"/>
  <c r="K13" i="5"/>
  <c r="G13" i="5"/>
  <c r="C13" i="5"/>
  <c r="J13" i="5"/>
  <c r="R13" i="5"/>
  <c r="E16" i="5"/>
  <c r="M16" i="5"/>
  <c r="S19" i="5"/>
  <c r="O19" i="5"/>
  <c r="K19" i="5"/>
  <c r="G19" i="5"/>
  <c r="C19" i="5"/>
  <c r="R19" i="5"/>
  <c r="N19" i="5"/>
  <c r="J19" i="5"/>
  <c r="F19" i="5"/>
  <c r="Q19" i="5"/>
  <c r="M19" i="5"/>
  <c r="I19" i="5"/>
  <c r="E19" i="5"/>
  <c r="P24" i="5"/>
  <c r="L24" i="5"/>
  <c r="H24" i="5"/>
  <c r="D24" i="5"/>
  <c r="S24" i="5"/>
  <c r="O24" i="5"/>
  <c r="K24" i="5"/>
  <c r="G24" i="5"/>
  <c r="C24" i="5"/>
  <c r="R24" i="5"/>
  <c r="N24" i="5"/>
  <c r="J24" i="5"/>
  <c r="F24" i="5"/>
  <c r="Q24" i="5"/>
  <c r="M24" i="5"/>
  <c r="I24" i="5"/>
  <c r="E24" i="5"/>
  <c r="F21" i="5"/>
  <c r="J21" i="5"/>
  <c r="N21" i="5"/>
  <c r="R21" i="5"/>
  <c r="P25" i="5"/>
  <c r="L25" i="5"/>
  <c r="H25" i="5"/>
  <c r="D25" i="5"/>
  <c r="G25" i="5"/>
  <c r="M25" i="5"/>
  <c r="R25" i="5"/>
  <c r="S28" i="5"/>
  <c r="O28" i="5"/>
  <c r="K28" i="5"/>
  <c r="G28" i="5"/>
  <c r="C28" i="5"/>
  <c r="H28" i="5"/>
  <c r="M28" i="5"/>
  <c r="R28" i="5"/>
  <c r="F32" i="5"/>
  <c r="N32" i="5"/>
  <c r="I35" i="5"/>
  <c r="Q35" i="5"/>
  <c r="D14" i="5"/>
  <c r="H14" i="5"/>
  <c r="L14" i="5"/>
  <c r="P14" i="5"/>
  <c r="D18" i="5"/>
  <c r="H18" i="5"/>
  <c r="L18" i="5"/>
  <c r="P18" i="5"/>
  <c r="C21" i="5"/>
  <c r="G21" i="5"/>
  <c r="K21" i="5"/>
  <c r="O21" i="5"/>
  <c r="S21" i="5"/>
  <c r="D22" i="5"/>
  <c r="H22" i="5"/>
  <c r="L22" i="5"/>
  <c r="P22" i="5"/>
  <c r="C25" i="5"/>
  <c r="I25" i="5"/>
  <c r="N25" i="5"/>
  <c r="S25" i="5"/>
  <c r="D26" i="5"/>
  <c r="J26" i="5"/>
  <c r="G27" i="5"/>
  <c r="L27" i="5"/>
  <c r="D28" i="5"/>
  <c r="I28" i="5"/>
  <c r="N28" i="5"/>
  <c r="F29" i="5"/>
  <c r="H30" i="5"/>
  <c r="R31" i="5"/>
  <c r="N31" i="5"/>
  <c r="J31" i="5"/>
  <c r="F31" i="5"/>
  <c r="P31" i="5"/>
  <c r="L31" i="5"/>
  <c r="H31" i="5"/>
  <c r="D31" i="5"/>
  <c r="H32" i="5"/>
  <c r="C35" i="5"/>
  <c r="K35" i="5"/>
  <c r="S45" i="5"/>
  <c r="O45" i="5"/>
  <c r="K45" i="5"/>
  <c r="G45" i="5"/>
  <c r="C45" i="5"/>
  <c r="Q45" i="5"/>
  <c r="L45" i="5"/>
  <c r="F45" i="5"/>
  <c r="P45" i="5"/>
  <c r="J45" i="5"/>
  <c r="E45" i="5"/>
  <c r="N45" i="5"/>
  <c r="I45" i="5"/>
  <c r="D45" i="5"/>
  <c r="R45" i="5"/>
  <c r="M45" i="5"/>
  <c r="H45" i="5"/>
  <c r="D21" i="5"/>
  <c r="H21" i="5"/>
  <c r="L21" i="5"/>
  <c r="P21" i="5"/>
  <c r="E25" i="5"/>
  <c r="J25" i="5"/>
  <c r="O25" i="5"/>
  <c r="E28" i="5"/>
  <c r="J28" i="5"/>
  <c r="P28" i="5"/>
  <c r="P29" i="5"/>
  <c r="L29" i="5"/>
  <c r="H29" i="5"/>
  <c r="D29" i="5"/>
  <c r="R29" i="5"/>
  <c r="N29" i="5"/>
  <c r="J29" i="5"/>
  <c r="G29" i="5"/>
  <c r="O29" i="5"/>
  <c r="Q30" i="5"/>
  <c r="M30" i="5"/>
  <c r="I30" i="5"/>
  <c r="E30" i="5"/>
  <c r="S30" i="5"/>
  <c r="O30" i="5"/>
  <c r="K30" i="5"/>
  <c r="G30" i="5"/>
  <c r="C30" i="5"/>
  <c r="J30" i="5"/>
  <c r="R30" i="5"/>
  <c r="S32" i="5"/>
  <c r="O32" i="5"/>
  <c r="K32" i="5"/>
  <c r="G32" i="5"/>
  <c r="C32" i="5"/>
  <c r="Q32" i="5"/>
  <c r="M32" i="5"/>
  <c r="I32" i="5"/>
  <c r="E32" i="5"/>
  <c r="J32" i="5"/>
  <c r="R32" i="5"/>
  <c r="R35" i="5"/>
  <c r="N35" i="5"/>
  <c r="J35" i="5"/>
  <c r="F35" i="5"/>
  <c r="P35" i="5"/>
  <c r="L35" i="5"/>
  <c r="H35" i="5"/>
  <c r="D35" i="5"/>
  <c r="S39" i="5"/>
  <c r="O39" i="5"/>
  <c r="K39" i="5"/>
  <c r="G39" i="5"/>
  <c r="C39" i="5"/>
  <c r="R39" i="5"/>
  <c r="N39" i="5"/>
  <c r="J39" i="5"/>
  <c r="F39" i="5"/>
  <c r="Q39" i="5"/>
  <c r="M39" i="5"/>
  <c r="I39" i="5"/>
  <c r="E39" i="5"/>
  <c r="P39" i="5"/>
  <c r="L39" i="5"/>
  <c r="H39" i="5"/>
  <c r="D39" i="5"/>
  <c r="S43" i="5"/>
  <c r="O43" i="5"/>
  <c r="K43" i="5"/>
  <c r="G43" i="5"/>
  <c r="C43" i="5"/>
  <c r="R43" i="5"/>
  <c r="N43" i="5"/>
  <c r="J43" i="5"/>
  <c r="F43" i="5"/>
  <c r="Q43" i="5"/>
  <c r="M43" i="5"/>
  <c r="I43" i="5"/>
  <c r="E43" i="5"/>
  <c r="P43" i="5"/>
  <c r="L43" i="5"/>
  <c r="H43" i="5"/>
  <c r="D43" i="5"/>
  <c r="F14" i="5"/>
  <c r="J14" i="5"/>
  <c r="N14" i="5"/>
  <c r="F18" i="5"/>
  <c r="J18" i="5"/>
  <c r="N18" i="5"/>
  <c r="E21" i="5"/>
  <c r="I21" i="5"/>
  <c r="M21" i="5"/>
  <c r="F22" i="5"/>
  <c r="J22" i="5"/>
  <c r="N22" i="5"/>
  <c r="F25" i="5"/>
  <c r="K25" i="5"/>
  <c r="Q25" i="5"/>
  <c r="Q26" i="5"/>
  <c r="M26" i="5"/>
  <c r="I26" i="5"/>
  <c r="E26" i="5"/>
  <c r="G26" i="5"/>
  <c r="L26" i="5"/>
  <c r="R26" i="5"/>
  <c r="R27" i="5"/>
  <c r="N27" i="5"/>
  <c r="J27" i="5"/>
  <c r="F27" i="5"/>
  <c r="F28" i="5"/>
  <c r="L28" i="5"/>
  <c r="Q28" i="5"/>
  <c r="C29" i="5"/>
  <c r="I29" i="5"/>
  <c r="Q29" i="5"/>
  <c r="D30" i="5"/>
  <c r="L30" i="5"/>
  <c r="D32" i="5"/>
  <c r="L32" i="5"/>
  <c r="G35" i="5"/>
  <c r="O35" i="5"/>
  <c r="Q49" i="5"/>
  <c r="M49" i="5"/>
  <c r="I49" i="5"/>
  <c r="E49" i="5"/>
  <c r="S49" i="5"/>
  <c r="O49" i="5"/>
  <c r="K49" i="5"/>
  <c r="G49" i="5"/>
  <c r="C49" i="5"/>
  <c r="L49" i="5"/>
  <c r="D49" i="5"/>
  <c r="R49" i="5"/>
  <c r="J49" i="5"/>
  <c r="P49" i="5"/>
  <c r="H49" i="5"/>
  <c r="N49" i="5"/>
  <c r="F49" i="5"/>
  <c r="F33" i="5"/>
  <c r="J33" i="5"/>
  <c r="N33" i="5"/>
  <c r="R33" i="5"/>
  <c r="F37" i="5"/>
  <c r="J37" i="5"/>
  <c r="N37" i="5"/>
  <c r="R37" i="5"/>
  <c r="C38" i="5"/>
  <c r="G38" i="5"/>
  <c r="K38" i="5"/>
  <c r="O38" i="5"/>
  <c r="S38" i="5"/>
  <c r="E40" i="5"/>
  <c r="I40" i="5"/>
  <c r="M40" i="5"/>
  <c r="Q40" i="5"/>
  <c r="F41" i="5"/>
  <c r="J41" i="5"/>
  <c r="N41" i="5"/>
  <c r="R41" i="5"/>
  <c r="C42" i="5"/>
  <c r="G42" i="5"/>
  <c r="K42" i="5"/>
  <c r="O42" i="5"/>
  <c r="S42" i="5"/>
  <c r="E44" i="5"/>
  <c r="K44" i="5"/>
  <c r="F47" i="5"/>
  <c r="K47" i="5"/>
  <c r="C48" i="5"/>
  <c r="K48" i="5"/>
  <c r="D51" i="5"/>
  <c r="L51" i="5"/>
  <c r="D53" i="5"/>
  <c r="L53" i="5"/>
  <c r="S55" i="5"/>
  <c r="O55" i="5"/>
  <c r="K55" i="5"/>
  <c r="G55" i="5"/>
  <c r="C55" i="5"/>
  <c r="Q55" i="5"/>
  <c r="M55" i="5"/>
  <c r="I55" i="5"/>
  <c r="E55" i="5"/>
  <c r="P55" i="5"/>
  <c r="L55" i="5"/>
  <c r="H55" i="5"/>
  <c r="D55" i="5"/>
  <c r="R55" i="5"/>
  <c r="K56" i="5"/>
  <c r="Q57" i="5"/>
  <c r="M57" i="5"/>
  <c r="I57" i="5"/>
  <c r="E57" i="5"/>
  <c r="S57" i="5"/>
  <c r="O57" i="5"/>
  <c r="K57" i="5"/>
  <c r="G57" i="5"/>
  <c r="C57" i="5"/>
  <c r="R57" i="5"/>
  <c r="N57" i="5"/>
  <c r="J57" i="5"/>
  <c r="F57" i="5"/>
  <c r="F40" i="5"/>
  <c r="J40" i="5"/>
  <c r="N40" i="5"/>
  <c r="R40" i="5"/>
  <c r="D42" i="5"/>
  <c r="H42" i="5"/>
  <c r="L42" i="5"/>
  <c r="P42" i="5"/>
  <c r="R44" i="5"/>
  <c r="N44" i="5"/>
  <c r="J44" i="5"/>
  <c r="F44" i="5"/>
  <c r="G44" i="5"/>
  <c r="L44" i="5"/>
  <c r="Q44" i="5"/>
  <c r="Q47" i="5"/>
  <c r="M47" i="5"/>
  <c r="I47" i="5"/>
  <c r="E47" i="5"/>
  <c r="G47" i="5"/>
  <c r="L47" i="5"/>
  <c r="R47" i="5"/>
  <c r="P48" i="5"/>
  <c r="L48" i="5"/>
  <c r="H48" i="5"/>
  <c r="D48" i="5"/>
  <c r="R48" i="5"/>
  <c r="N48" i="5"/>
  <c r="J48" i="5"/>
  <c r="F48" i="5"/>
  <c r="F51" i="5"/>
  <c r="N51" i="5"/>
  <c r="F53" i="5"/>
  <c r="N53" i="5"/>
  <c r="F55" i="5"/>
  <c r="O56" i="5"/>
  <c r="D33" i="5"/>
  <c r="H33" i="5"/>
  <c r="L33" i="5"/>
  <c r="D37" i="5"/>
  <c r="H37" i="5"/>
  <c r="L37" i="5"/>
  <c r="E38" i="5"/>
  <c r="I38" i="5"/>
  <c r="M38" i="5"/>
  <c r="Q38" i="5"/>
  <c r="C40" i="5"/>
  <c r="G40" i="5"/>
  <c r="K40" i="5"/>
  <c r="O40" i="5"/>
  <c r="S40" i="5"/>
  <c r="D41" i="5"/>
  <c r="H41" i="5"/>
  <c r="L41" i="5"/>
  <c r="E42" i="5"/>
  <c r="I42" i="5"/>
  <c r="M42" i="5"/>
  <c r="Q42" i="5"/>
  <c r="C44" i="5"/>
  <c r="H44" i="5"/>
  <c r="M44" i="5"/>
  <c r="S44" i="5"/>
  <c r="P46" i="5"/>
  <c r="L46" i="5"/>
  <c r="H46" i="5"/>
  <c r="D46" i="5"/>
  <c r="G46" i="5"/>
  <c r="M46" i="5"/>
  <c r="R46" i="5"/>
  <c r="C47" i="5"/>
  <c r="H47" i="5"/>
  <c r="N47" i="5"/>
  <c r="S47" i="5"/>
  <c r="G48" i="5"/>
  <c r="O48" i="5"/>
  <c r="H51" i="5"/>
  <c r="P52" i="5"/>
  <c r="L52" i="5"/>
  <c r="H52" i="5"/>
  <c r="D52" i="5"/>
  <c r="R52" i="5"/>
  <c r="N52" i="5"/>
  <c r="J52" i="5"/>
  <c r="F52" i="5"/>
  <c r="H53" i="5"/>
  <c r="J55" i="5"/>
  <c r="C56" i="5"/>
  <c r="L57" i="5"/>
  <c r="F38" i="5"/>
  <c r="J38" i="5"/>
  <c r="N38" i="5"/>
  <c r="D40" i="5"/>
  <c r="H40" i="5"/>
  <c r="L40" i="5"/>
  <c r="F42" i="5"/>
  <c r="J42" i="5"/>
  <c r="N42" i="5"/>
  <c r="D44" i="5"/>
  <c r="I44" i="5"/>
  <c r="O44" i="5"/>
  <c r="D47" i="5"/>
  <c r="J47" i="5"/>
  <c r="O47" i="5"/>
  <c r="I48" i="5"/>
  <c r="Q48" i="5"/>
  <c r="S51" i="5"/>
  <c r="O51" i="5"/>
  <c r="K51" i="5"/>
  <c r="G51" i="5"/>
  <c r="C51" i="5"/>
  <c r="Q51" i="5"/>
  <c r="M51" i="5"/>
  <c r="I51" i="5"/>
  <c r="E51" i="5"/>
  <c r="J51" i="5"/>
  <c r="R51" i="5"/>
  <c r="Q53" i="5"/>
  <c r="M53" i="5"/>
  <c r="I53" i="5"/>
  <c r="E53" i="5"/>
  <c r="S53" i="5"/>
  <c r="O53" i="5"/>
  <c r="K53" i="5"/>
  <c r="G53" i="5"/>
  <c r="C53" i="5"/>
  <c r="J53" i="5"/>
  <c r="R53" i="5"/>
  <c r="P56" i="5"/>
  <c r="L56" i="5"/>
  <c r="H56" i="5"/>
  <c r="D56" i="5"/>
  <c r="R56" i="5"/>
  <c r="N56" i="5"/>
  <c r="J56" i="5"/>
  <c r="F56" i="5"/>
  <c r="Q56" i="5"/>
  <c r="M56" i="5"/>
  <c r="I56" i="5"/>
  <c r="E56" i="5"/>
  <c r="D59" i="5"/>
  <c r="H59" i="5"/>
  <c r="N59" i="5"/>
  <c r="S59" i="5"/>
  <c r="S61" i="5"/>
  <c r="O61" i="5"/>
  <c r="K61" i="5"/>
  <c r="G61" i="5"/>
  <c r="C61" i="5"/>
  <c r="H61" i="5"/>
  <c r="M61" i="5"/>
  <c r="R61" i="5"/>
  <c r="F62" i="5"/>
  <c r="N62" i="5"/>
  <c r="Q63" i="5"/>
  <c r="M63" i="5"/>
  <c r="I63" i="5"/>
  <c r="E63" i="5"/>
  <c r="P63" i="5"/>
  <c r="L63" i="5"/>
  <c r="H63" i="5"/>
  <c r="D63" i="5"/>
  <c r="S63" i="5"/>
  <c r="O63" i="5"/>
  <c r="K63" i="5"/>
  <c r="G63" i="5"/>
  <c r="C63" i="5"/>
  <c r="R63" i="5"/>
  <c r="S65" i="5"/>
  <c r="O65" i="5"/>
  <c r="K65" i="5"/>
  <c r="G65" i="5"/>
  <c r="C65" i="5"/>
  <c r="R65" i="5"/>
  <c r="N65" i="5"/>
  <c r="J65" i="5"/>
  <c r="F65" i="5"/>
  <c r="Q65" i="5"/>
  <c r="M65" i="5"/>
  <c r="I65" i="5"/>
  <c r="E65" i="5"/>
  <c r="S72" i="5"/>
  <c r="O72" i="5"/>
  <c r="K72" i="5"/>
  <c r="G72" i="5"/>
  <c r="C72" i="5"/>
  <c r="R72" i="5"/>
  <c r="N72" i="5"/>
  <c r="J72" i="5"/>
  <c r="F72" i="5"/>
  <c r="Q72" i="5"/>
  <c r="M72" i="5"/>
  <c r="I72" i="5"/>
  <c r="E72" i="5"/>
  <c r="P72" i="5"/>
  <c r="L72" i="5"/>
  <c r="H72" i="5"/>
  <c r="D72" i="5"/>
  <c r="D50" i="5"/>
  <c r="H50" i="5"/>
  <c r="L50" i="5"/>
  <c r="P50" i="5"/>
  <c r="D54" i="5"/>
  <c r="H54" i="5"/>
  <c r="L54" i="5"/>
  <c r="P54" i="5"/>
  <c r="D58" i="5"/>
  <c r="H58" i="5"/>
  <c r="L58" i="5"/>
  <c r="P58" i="5"/>
  <c r="E59" i="5"/>
  <c r="J59" i="5"/>
  <c r="G60" i="5"/>
  <c r="L60" i="5"/>
  <c r="D61" i="5"/>
  <c r="I61" i="5"/>
  <c r="N61" i="5"/>
  <c r="I62" i="5"/>
  <c r="F63" i="5"/>
  <c r="H65" i="5"/>
  <c r="C68" i="5"/>
  <c r="P73" i="5"/>
  <c r="L73" i="5"/>
  <c r="H73" i="5"/>
  <c r="D73" i="5"/>
  <c r="S73" i="5"/>
  <c r="O73" i="5"/>
  <c r="K73" i="5"/>
  <c r="G73" i="5"/>
  <c r="C73" i="5"/>
  <c r="R73" i="5"/>
  <c r="N73" i="5"/>
  <c r="J73" i="5"/>
  <c r="F73" i="5"/>
  <c r="Q73" i="5"/>
  <c r="M73" i="5"/>
  <c r="I73" i="5"/>
  <c r="E73" i="5"/>
  <c r="Q59" i="5"/>
  <c r="M59" i="5"/>
  <c r="I59" i="5"/>
  <c r="F59" i="5"/>
  <c r="K59" i="5"/>
  <c r="P59" i="5"/>
  <c r="P62" i="5"/>
  <c r="L62" i="5"/>
  <c r="H62" i="5"/>
  <c r="D62" i="5"/>
  <c r="S62" i="5"/>
  <c r="O62" i="5"/>
  <c r="K62" i="5"/>
  <c r="G62" i="5"/>
  <c r="C62" i="5"/>
  <c r="J62" i="5"/>
  <c r="R62" i="5"/>
  <c r="R68" i="5"/>
  <c r="N68" i="5"/>
  <c r="J68" i="5"/>
  <c r="F68" i="5"/>
  <c r="Q68" i="5"/>
  <c r="M68" i="5"/>
  <c r="I68" i="5"/>
  <c r="E68" i="5"/>
  <c r="P68" i="5"/>
  <c r="L68" i="5"/>
  <c r="H68" i="5"/>
  <c r="D68" i="5"/>
  <c r="S76" i="5"/>
  <c r="O76" i="5"/>
  <c r="K76" i="5"/>
  <c r="G76" i="5"/>
  <c r="C76" i="5"/>
  <c r="R76" i="5"/>
  <c r="N76" i="5"/>
  <c r="J76" i="5"/>
  <c r="F76" i="5"/>
  <c r="Q76" i="5"/>
  <c r="M76" i="5"/>
  <c r="I76" i="5"/>
  <c r="E76" i="5"/>
  <c r="P76" i="5"/>
  <c r="L76" i="5"/>
  <c r="H76" i="5"/>
  <c r="D76" i="5"/>
  <c r="F50" i="5"/>
  <c r="J50" i="5"/>
  <c r="N50" i="5"/>
  <c r="F54" i="5"/>
  <c r="J54" i="5"/>
  <c r="N54" i="5"/>
  <c r="F58" i="5"/>
  <c r="J58" i="5"/>
  <c r="N58" i="5"/>
  <c r="C59" i="5"/>
  <c r="G59" i="5"/>
  <c r="L59" i="5"/>
  <c r="R59" i="5"/>
  <c r="R60" i="5"/>
  <c r="N60" i="5"/>
  <c r="J60" i="5"/>
  <c r="F60" i="5"/>
  <c r="F61" i="5"/>
  <c r="L61" i="5"/>
  <c r="Q61" i="5"/>
  <c r="E62" i="5"/>
  <c r="M62" i="5"/>
  <c r="N63" i="5"/>
  <c r="R64" i="5"/>
  <c r="N64" i="5"/>
  <c r="J64" i="5"/>
  <c r="F64" i="5"/>
  <c r="Q64" i="5"/>
  <c r="M64" i="5"/>
  <c r="I64" i="5"/>
  <c r="E64" i="5"/>
  <c r="P64" i="5"/>
  <c r="L64" i="5"/>
  <c r="H64" i="5"/>
  <c r="D64" i="5"/>
  <c r="P65" i="5"/>
  <c r="Q67" i="5"/>
  <c r="M67" i="5"/>
  <c r="I67" i="5"/>
  <c r="E67" i="5"/>
  <c r="P67" i="5"/>
  <c r="L67" i="5"/>
  <c r="H67" i="5"/>
  <c r="D67" i="5"/>
  <c r="S67" i="5"/>
  <c r="O67" i="5"/>
  <c r="K67" i="5"/>
  <c r="G67" i="5"/>
  <c r="C67" i="5"/>
  <c r="R67" i="5"/>
  <c r="K68" i="5"/>
  <c r="S69" i="5"/>
  <c r="O69" i="5"/>
  <c r="K69" i="5"/>
  <c r="G69" i="5"/>
  <c r="C69" i="5"/>
  <c r="R69" i="5"/>
  <c r="N69" i="5"/>
  <c r="J69" i="5"/>
  <c r="F69" i="5"/>
  <c r="Q69" i="5"/>
  <c r="M69" i="5"/>
  <c r="I69" i="5"/>
  <c r="E69" i="5"/>
  <c r="P77" i="5"/>
  <c r="L77" i="5"/>
  <c r="H77" i="5"/>
  <c r="D77" i="5"/>
  <c r="S77" i="5"/>
  <c r="O77" i="5"/>
  <c r="K77" i="5"/>
  <c r="G77" i="5"/>
  <c r="C77" i="5"/>
  <c r="R77" i="5"/>
  <c r="N77" i="5"/>
  <c r="J77" i="5"/>
  <c r="F77" i="5"/>
  <c r="Q77" i="5"/>
  <c r="M77" i="5"/>
  <c r="I77" i="5"/>
  <c r="E77" i="5"/>
  <c r="F66" i="5"/>
  <c r="J66" i="5"/>
  <c r="N66" i="5"/>
  <c r="R66" i="5"/>
  <c r="F70" i="5"/>
  <c r="J70" i="5"/>
  <c r="N70" i="5"/>
  <c r="R70" i="5"/>
  <c r="C71" i="5"/>
  <c r="G71" i="5"/>
  <c r="K71" i="5"/>
  <c r="O71" i="5"/>
  <c r="S71" i="5"/>
  <c r="F74" i="5"/>
  <c r="J74" i="5"/>
  <c r="N74" i="5"/>
  <c r="R74" i="5"/>
  <c r="C75" i="5"/>
  <c r="G75" i="5"/>
  <c r="K75" i="5"/>
  <c r="O75" i="5"/>
  <c r="S75" i="5"/>
  <c r="C66" i="5"/>
  <c r="G66" i="5"/>
  <c r="K66" i="5"/>
  <c r="O66" i="5"/>
  <c r="S66" i="5"/>
  <c r="C70" i="5"/>
  <c r="G70" i="5"/>
  <c r="K70" i="5"/>
  <c r="O70" i="5"/>
  <c r="S70" i="5"/>
  <c r="D71" i="5"/>
  <c r="H71" i="5"/>
  <c r="L71" i="5"/>
  <c r="P71" i="5"/>
  <c r="C74" i="5"/>
  <c r="G74" i="5"/>
  <c r="K74" i="5"/>
  <c r="O74" i="5"/>
  <c r="S74" i="5"/>
  <c r="D75" i="5"/>
  <c r="H75" i="5"/>
  <c r="L75" i="5"/>
  <c r="P75" i="5"/>
  <c r="D66" i="5"/>
  <c r="H66" i="5"/>
  <c r="L66" i="5"/>
  <c r="D70" i="5"/>
  <c r="H70" i="5"/>
  <c r="L70" i="5"/>
  <c r="E71" i="5"/>
  <c r="I71" i="5"/>
  <c r="M71" i="5"/>
  <c r="Q71" i="5"/>
  <c r="D74" i="5"/>
  <c r="H74" i="5"/>
  <c r="L74" i="5"/>
  <c r="E75" i="5"/>
  <c r="I75" i="5"/>
  <c r="M75" i="5"/>
  <c r="Q75" i="5"/>
  <c r="F71" i="5"/>
  <c r="J71" i="5"/>
  <c r="N71" i="5"/>
  <c r="F75" i="5"/>
  <c r="J75" i="5"/>
  <c r="N75" i="5"/>
  <c r="AA77" i="4"/>
  <c r="A77" i="4" s="1"/>
  <c r="X77" i="4"/>
  <c r="W77" i="4"/>
  <c r="V77" i="4"/>
  <c r="U77" i="4"/>
  <c r="AA76" i="4"/>
  <c r="A76" i="4" s="1"/>
  <c r="X76" i="4"/>
  <c r="W76" i="4"/>
  <c r="V76" i="4"/>
  <c r="U76" i="4"/>
  <c r="AA75" i="4"/>
  <c r="X75" i="4"/>
  <c r="W75" i="4"/>
  <c r="V75" i="4"/>
  <c r="U75" i="4"/>
  <c r="A75" i="4"/>
  <c r="AA74" i="4"/>
  <c r="X74" i="4"/>
  <c r="W74" i="4"/>
  <c r="V74" i="4"/>
  <c r="U74" i="4"/>
  <c r="A74" i="4"/>
  <c r="AA73" i="4"/>
  <c r="A73" i="4" s="1"/>
  <c r="X73" i="4"/>
  <c r="W73" i="4"/>
  <c r="V73" i="4"/>
  <c r="U73" i="4"/>
  <c r="AA72" i="4"/>
  <c r="A72" i="4" s="1"/>
  <c r="X72" i="4"/>
  <c r="W72" i="4"/>
  <c r="V72" i="4"/>
  <c r="U72" i="4"/>
  <c r="AA71" i="4"/>
  <c r="X71" i="4"/>
  <c r="W71" i="4"/>
  <c r="V71" i="4"/>
  <c r="U71" i="4"/>
  <c r="A71" i="4"/>
  <c r="AA70" i="4"/>
  <c r="X70" i="4"/>
  <c r="W70" i="4"/>
  <c r="V70" i="4"/>
  <c r="U70" i="4"/>
  <c r="A70" i="4"/>
  <c r="AA69" i="4"/>
  <c r="X69" i="4"/>
  <c r="W69" i="4"/>
  <c r="V69" i="4"/>
  <c r="U69" i="4"/>
  <c r="A69" i="4"/>
  <c r="AA68" i="4"/>
  <c r="A68" i="4" s="1"/>
  <c r="X68" i="4"/>
  <c r="W68" i="4"/>
  <c r="V68" i="4"/>
  <c r="U68" i="4"/>
  <c r="AA67" i="4"/>
  <c r="A67" i="4" s="1"/>
  <c r="X67" i="4"/>
  <c r="W67" i="4"/>
  <c r="V67" i="4"/>
  <c r="U67" i="4"/>
  <c r="AA66" i="4"/>
  <c r="X66" i="4"/>
  <c r="W66" i="4"/>
  <c r="V66" i="4"/>
  <c r="U66" i="4"/>
  <c r="A66" i="4"/>
  <c r="AA65" i="4"/>
  <c r="X65" i="4"/>
  <c r="W65" i="4"/>
  <c r="V65" i="4"/>
  <c r="U65" i="4"/>
  <c r="A65" i="4"/>
  <c r="AA64" i="4"/>
  <c r="A64" i="4" s="1"/>
  <c r="X64" i="4"/>
  <c r="W64" i="4"/>
  <c r="V64" i="4"/>
  <c r="U64" i="4"/>
  <c r="AA63" i="4"/>
  <c r="A63" i="4" s="1"/>
  <c r="X63" i="4"/>
  <c r="W63" i="4"/>
  <c r="V63" i="4"/>
  <c r="U63" i="4"/>
  <c r="AA62" i="4"/>
  <c r="X62" i="4"/>
  <c r="W62" i="4"/>
  <c r="V62" i="4"/>
  <c r="U62" i="4"/>
  <c r="A62" i="4"/>
  <c r="AA61" i="4"/>
  <c r="X61" i="4"/>
  <c r="W61" i="4"/>
  <c r="V61" i="4"/>
  <c r="U61" i="4"/>
  <c r="A61" i="4"/>
  <c r="AA60" i="4"/>
  <c r="A60" i="4" s="1"/>
  <c r="X60" i="4"/>
  <c r="W60" i="4"/>
  <c r="V60" i="4"/>
  <c r="U60" i="4"/>
  <c r="AA59" i="4"/>
  <c r="A59" i="4" s="1"/>
  <c r="X59" i="4"/>
  <c r="W59" i="4"/>
  <c r="V59" i="4"/>
  <c r="U59" i="4"/>
  <c r="AA58" i="4"/>
  <c r="A58" i="4" s="1"/>
  <c r="X58" i="4"/>
  <c r="W58" i="4"/>
  <c r="V58" i="4"/>
  <c r="U58" i="4"/>
  <c r="AA57" i="4"/>
  <c r="X57" i="4"/>
  <c r="W57" i="4"/>
  <c r="V57" i="4"/>
  <c r="U57" i="4"/>
  <c r="A57" i="4"/>
  <c r="AA56" i="4"/>
  <c r="X56" i="4"/>
  <c r="W56" i="4"/>
  <c r="V56" i="4"/>
  <c r="U56" i="4"/>
  <c r="A56" i="4"/>
  <c r="AA55" i="4"/>
  <c r="X55" i="4"/>
  <c r="W55" i="4"/>
  <c r="V55" i="4"/>
  <c r="U55" i="4"/>
  <c r="A55" i="4"/>
  <c r="AA54" i="4"/>
  <c r="A54" i="4" s="1"/>
  <c r="X54" i="4"/>
  <c r="W54" i="4"/>
  <c r="V54" i="4"/>
  <c r="U54" i="4"/>
  <c r="AA53" i="4"/>
  <c r="X53" i="4"/>
  <c r="W53" i="4"/>
  <c r="V53" i="4"/>
  <c r="U53" i="4"/>
  <c r="A53" i="4"/>
  <c r="AA52" i="4"/>
  <c r="X52" i="4"/>
  <c r="W52" i="4"/>
  <c r="V52" i="4"/>
  <c r="U52" i="4"/>
  <c r="A52" i="4"/>
  <c r="AA51" i="4"/>
  <c r="A51" i="4" s="1"/>
  <c r="X51" i="4"/>
  <c r="W51" i="4"/>
  <c r="V51" i="4"/>
  <c r="U51" i="4"/>
  <c r="AA50" i="4"/>
  <c r="A50" i="4" s="1"/>
  <c r="X50" i="4"/>
  <c r="W50" i="4"/>
  <c r="V50" i="4"/>
  <c r="U50" i="4"/>
  <c r="AA49" i="4"/>
  <c r="X49" i="4"/>
  <c r="W49" i="4"/>
  <c r="V49" i="4"/>
  <c r="U49" i="4"/>
  <c r="A49" i="4"/>
  <c r="AA48" i="4"/>
  <c r="X48" i="4"/>
  <c r="W48" i="4"/>
  <c r="V48" i="4"/>
  <c r="U48" i="4"/>
  <c r="A48" i="4"/>
  <c r="AA47" i="4"/>
  <c r="A47" i="4" s="1"/>
  <c r="X47" i="4"/>
  <c r="W47" i="4"/>
  <c r="V47" i="4"/>
  <c r="U47" i="4"/>
  <c r="AA46" i="4"/>
  <c r="A46" i="4" s="1"/>
  <c r="X46" i="4"/>
  <c r="W46" i="4"/>
  <c r="V46" i="4"/>
  <c r="U46" i="4"/>
  <c r="AA45" i="4"/>
  <c r="X45" i="4"/>
  <c r="W45" i="4"/>
  <c r="V45" i="4"/>
  <c r="U45" i="4"/>
  <c r="A45" i="4"/>
  <c r="AA44" i="4"/>
  <c r="X44" i="4"/>
  <c r="W44" i="4"/>
  <c r="V44" i="4"/>
  <c r="U44" i="4"/>
  <c r="A44" i="4"/>
  <c r="AA43" i="4"/>
  <c r="A43" i="4" s="1"/>
  <c r="X43" i="4"/>
  <c r="W43" i="4"/>
  <c r="V43" i="4"/>
  <c r="U43" i="4"/>
  <c r="AA42" i="4"/>
  <c r="A42" i="4" s="1"/>
  <c r="X42" i="4"/>
  <c r="W42" i="4"/>
  <c r="V42" i="4"/>
  <c r="U42" i="4"/>
  <c r="AA41" i="4"/>
  <c r="A41" i="4" s="1"/>
  <c r="X41" i="4"/>
  <c r="W41" i="4"/>
  <c r="V41" i="4"/>
  <c r="U41" i="4"/>
  <c r="AA40" i="4"/>
  <c r="X40" i="4"/>
  <c r="W40" i="4"/>
  <c r="V40" i="4"/>
  <c r="U40" i="4"/>
  <c r="A40" i="4"/>
  <c r="AA39" i="4"/>
  <c r="A39" i="4" s="1"/>
  <c r="X39" i="4"/>
  <c r="W39" i="4"/>
  <c r="V39" i="4"/>
  <c r="U39" i="4"/>
  <c r="AA38" i="4"/>
  <c r="A38" i="4" s="1"/>
  <c r="X38" i="4"/>
  <c r="W38" i="4"/>
  <c r="V38" i="4"/>
  <c r="U38" i="4"/>
  <c r="AA37" i="4"/>
  <c r="A37" i="4" s="1"/>
  <c r="X37" i="4"/>
  <c r="W37" i="4"/>
  <c r="V37" i="4"/>
  <c r="U37" i="4"/>
  <c r="AA36" i="4"/>
  <c r="X36" i="4"/>
  <c r="W36" i="4"/>
  <c r="V36" i="4"/>
  <c r="U36" i="4"/>
  <c r="A36" i="4"/>
  <c r="AA35" i="4"/>
  <c r="A35" i="4" s="1"/>
  <c r="X35" i="4"/>
  <c r="W35" i="4"/>
  <c r="V35" i="4"/>
  <c r="U35" i="4"/>
  <c r="AA34" i="4"/>
  <c r="A34" i="4" s="1"/>
  <c r="X34" i="4"/>
  <c r="W34" i="4"/>
  <c r="V34" i="4"/>
  <c r="U34" i="4"/>
  <c r="AA33" i="4"/>
  <c r="X33" i="4"/>
  <c r="W33" i="4"/>
  <c r="V33" i="4"/>
  <c r="U33" i="4"/>
  <c r="A33" i="4"/>
  <c r="AA32" i="4"/>
  <c r="X32" i="4"/>
  <c r="W32" i="4"/>
  <c r="V32" i="4"/>
  <c r="U32" i="4"/>
  <c r="A32" i="4"/>
  <c r="AA31" i="4"/>
  <c r="A31" i="4" s="1"/>
  <c r="X31" i="4"/>
  <c r="W31" i="4"/>
  <c r="V31" i="4"/>
  <c r="U31" i="4"/>
  <c r="AA30" i="4"/>
  <c r="A30" i="4" s="1"/>
  <c r="X30" i="4"/>
  <c r="W30" i="4"/>
  <c r="V30" i="4"/>
  <c r="U30" i="4"/>
  <c r="AA29" i="4"/>
  <c r="X29" i="4"/>
  <c r="W29" i="4"/>
  <c r="V29" i="4"/>
  <c r="U29" i="4"/>
  <c r="A29" i="4"/>
  <c r="AA28" i="4"/>
  <c r="X28" i="4"/>
  <c r="W28" i="4"/>
  <c r="V28" i="4"/>
  <c r="U28" i="4"/>
  <c r="A28" i="4"/>
  <c r="AA27" i="4"/>
  <c r="A27" i="4" s="1"/>
  <c r="X27" i="4"/>
  <c r="W27" i="4"/>
  <c r="V27" i="4"/>
  <c r="U27" i="4"/>
  <c r="AA26" i="4"/>
  <c r="X26" i="4"/>
  <c r="W26" i="4"/>
  <c r="V26" i="4"/>
  <c r="U26" i="4"/>
  <c r="A26" i="4"/>
  <c r="AA25" i="4"/>
  <c r="X25" i="4"/>
  <c r="W25" i="4"/>
  <c r="V25" i="4"/>
  <c r="U25" i="4"/>
  <c r="A25" i="4"/>
  <c r="AA24" i="4"/>
  <c r="A24" i="4" s="1"/>
  <c r="X24" i="4"/>
  <c r="W24" i="4"/>
  <c r="V24" i="4"/>
  <c r="U24" i="4"/>
  <c r="AA23" i="4"/>
  <c r="X23" i="4"/>
  <c r="W23" i="4"/>
  <c r="V23" i="4"/>
  <c r="U23" i="4"/>
  <c r="A23" i="4"/>
  <c r="AA22" i="4"/>
  <c r="X22" i="4"/>
  <c r="W22" i="4"/>
  <c r="V22" i="4"/>
  <c r="U22" i="4"/>
  <c r="A22" i="4"/>
  <c r="AA21" i="4"/>
  <c r="X21" i="4"/>
  <c r="W21" i="4"/>
  <c r="V21" i="4"/>
  <c r="U21" i="4"/>
  <c r="A21" i="4"/>
  <c r="AA20" i="4"/>
  <c r="A20" i="4" s="1"/>
  <c r="X20" i="4"/>
  <c r="W20" i="4"/>
  <c r="V20" i="4"/>
  <c r="U20" i="4"/>
  <c r="AA19" i="4"/>
  <c r="A19" i="4" s="1"/>
  <c r="X19" i="4"/>
  <c r="W19" i="4"/>
  <c r="V19" i="4"/>
  <c r="U19" i="4"/>
  <c r="AA18" i="4"/>
  <c r="X18" i="4"/>
  <c r="W18" i="4"/>
  <c r="V18" i="4"/>
  <c r="U18" i="4"/>
  <c r="A18" i="4"/>
  <c r="AA17" i="4"/>
  <c r="A17" i="4" s="1"/>
  <c r="X17" i="4"/>
  <c r="W17" i="4"/>
  <c r="V17" i="4"/>
  <c r="U17" i="4"/>
  <c r="AA16" i="4"/>
  <c r="A16" i="4" s="1"/>
  <c r="X16" i="4"/>
  <c r="W16" i="4"/>
  <c r="V16" i="4"/>
  <c r="U16" i="4"/>
  <c r="AA15" i="4"/>
  <c r="X15" i="4"/>
  <c r="W15" i="4"/>
  <c r="V15" i="4"/>
  <c r="U15" i="4"/>
  <c r="A15" i="4"/>
  <c r="AA14" i="4"/>
  <c r="X14" i="4"/>
  <c r="W14" i="4"/>
  <c r="V14" i="4"/>
  <c r="U14" i="4"/>
  <c r="A14" i="4"/>
  <c r="AA13" i="4"/>
  <c r="A13" i="4" s="1"/>
  <c r="X13" i="4"/>
  <c r="W13" i="4"/>
  <c r="V13" i="4"/>
  <c r="U13" i="4"/>
  <c r="AA12" i="4"/>
  <c r="A12" i="4" s="1"/>
  <c r="X12" i="4"/>
  <c r="W12" i="4"/>
  <c r="V12" i="4"/>
  <c r="U12" i="4"/>
  <c r="AA11" i="4"/>
  <c r="X11" i="4"/>
  <c r="W11" i="4"/>
  <c r="V11" i="4"/>
  <c r="U11" i="4"/>
  <c r="A11" i="4"/>
  <c r="AA10" i="4"/>
  <c r="X10" i="4"/>
  <c r="W10" i="4"/>
  <c r="V10" i="4"/>
  <c r="U10" i="4"/>
  <c r="A10" i="4"/>
  <c r="AA9" i="4"/>
  <c r="A9" i="4" s="1"/>
  <c r="X9" i="4"/>
  <c r="W9" i="4"/>
  <c r="V9" i="4"/>
  <c r="U9" i="4"/>
  <c r="AA8" i="4"/>
  <c r="A8" i="4" s="1"/>
  <c r="X8" i="4"/>
  <c r="W8" i="4"/>
  <c r="V8" i="4"/>
  <c r="U8" i="4"/>
  <c r="AA7" i="4"/>
  <c r="X7" i="4"/>
  <c r="W7" i="4"/>
  <c r="V7" i="4"/>
  <c r="U7" i="4"/>
  <c r="A7" i="4"/>
  <c r="AA6" i="4"/>
  <c r="X6" i="4"/>
  <c r="W6" i="4"/>
  <c r="V6" i="4"/>
  <c r="U6" i="4"/>
  <c r="A6" i="4"/>
  <c r="AA5" i="4"/>
  <c r="A5" i="4" s="1"/>
  <c r="X5" i="4"/>
  <c r="W5" i="4"/>
  <c r="V5" i="4"/>
  <c r="U5" i="4"/>
  <c r="A4" i="4"/>
  <c r="E77" i="4" l="1"/>
  <c r="E6" i="4"/>
  <c r="M10" i="4"/>
  <c r="E14" i="4"/>
  <c r="D20" i="4"/>
  <c r="K20" i="4"/>
  <c r="Q20" i="4"/>
  <c r="I22" i="4"/>
  <c r="O22" i="4"/>
  <c r="Q25" i="4"/>
  <c r="G26" i="4"/>
  <c r="D27" i="4"/>
  <c r="N27" i="4"/>
  <c r="F28" i="4"/>
  <c r="N29" i="4"/>
  <c r="H30" i="4"/>
  <c r="E31" i="4"/>
  <c r="L31" i="4"/>
  <c r="K32" i="4"/>
  <c r="J33" i="4"/>
  <c r="K36" i="4"/>
  <c r="D39" i="4"/>
  <c r="Q39" i="4"/>
  <c r="I40" i="4"/>
  <c r="S40" i="4"/>
  <c r="I42" i="4"/>
  <c r="D43" i="4"/>
  <c r="N43" i="4"/>
  <c r="C44" i="4"/>
  <c r="N44" i="4"/>
  <c r="L45" i="4"/>
  <c r="I46" i="4"/>
  <c r="O48" i="4"/>
  <c r="K48" i="4"/>
  <c r="O49" i="4"/>
  <c r="G50" i="4"/>
  <c r="Q50" i="4"/>
  <c r="O52" i="4"/>
  <c r="I54" i="4"/>
  <c r="Q54" i="4"/>
  <c r="J55" i="4"/>
  <c r="C56" i="4"/>
  <c r="K56" i="4"/>
  <c r="S56" i="4"/>
  <c r="N57" i="4"/>
  <c r="K58" i="4"/>
  <c r="G59" i="4"/>
  <c r="Q59" i="4"/>
  <c r="H60" i="4"/>
  <c r="P60" i="4"/>
  <c r="K63" i="4"/>
  <c r="I64" i="4"/>
  <c r="Q64" i="4"/>
  <c r="R65" i="4"/>
  <c r="N66" i="4"/>
  <c r="H67" i="4"/>
  <c r="S67" i="4"/>
  <c r="L68" i="4"/>
  <c r="E69" i="4"/>
  <c r="R71" i="4"/>
  <c r="O71" i="4"/>
  <c r="H72" i="4"/>
  <c r="K75" i="4"/>
  <c r="D76" i="4"/>
  <c r="I77" i="4"/>
  <c r="I6" i="4"/>
  <c r="Q7" i="4"/>
  <c r="P10" i="4"/>
  <c r="Q10" i="4"/>
  <c r="I14" i="4"/>
  <c r="Q15" i="4"/>
  <c r="O18" i="4"/>
  <c r="E20" i="4"/>
  <c r="L20" i="4"/>
  <c r="S20" i="4"/>
  <c r="C22" i="4"/>
  <c r="J22" i="4"/>
  <c r="Q22" i="4"/>
  <c r="F23" i="4"/>
  <c r="P24" i="4"/>
  <c r="M26" i="4"/>
  <c r="E27" i="4"/>
  <c r="P27" i="4"/>
  <c r="G28" i="4"/>
  <c r="H29" i="4"/>
  <c r="R29" i="4"/>
  <c r="M30" i="4"/>
  <c r="F31" i="4"/>
  <c r="N31" i="4"/>
  <c r="N32" i="4"/>
  <c r="M32" i="4"/>
  <c r="N33" i="4"/>
  <c r="L33" i="4"/>
  <c r="Q34" i="4"/>
  <c r="C36" i="4"/>
  <c r="N36" i="4"/>
  <c r="R37" i="4"/>
  <c r="I39" i="4"/>
  <c r="O40" i="4"/>
  <c r="K40" i="4"/>
  <c r="L42" i="4"/>
  <c r="F43" i="4"/>
  <c r="Q43" i="4"/>
  <c r="F44" i="4"/>
  <c r="Q44" i="4"/>
  <c r="L46" i="4"/>
  <c r="F47" i="4"/>
  <c r="C48" i="4"/>
  <c r="N48" i="4"/>
  <c r="J49" i="4"/>
  <c r="R49" i="4"/>
  <c r="I50" i="4"/>
  <c r="S50" i="4"/>
  <c r="C52" i="4"/>
  <c r="S52" i="4"/>
  <c r="C54" i="4"/>
  <c r="K54" i="4"/>
  <c r="S54" i="4"/>
  <c r="R55" i="4"/>
  <c r="E56" i="4"/>
  <c r="M56" i="4"/>
  <c r="O58" i="4"/>
  <c r="I59" i="4"/>
  <c r="S59" i="4"/>
  <c r="I60" i="4"/>
  <c r="Q60" i="4"/>
  <c r="O62" i="4"/>
  <c r="C63" i="4"/>
  <c r="L63" i="4"/>
  <c r="D64" i="4"/>
  <c r="L64" i="4"/>
  <c r="K67" i="4"/>
  <c r="P68" i="4"/>
  <c r="I69" i="4"/>
  <c r="N70" i="4"/>
  <c r="C71" i="4"/>
  <c r="S71" i="4"/>
  <c r="L72" i="4"/>
  <c r="R75" i="4"/>
  <c r="O75" i="4"/>
  <c r="L76" i="4"/>
  <c r="M77" i="4"/>
  <c r="M6" i="4"/>
  <c r="E10" i="4"/>
  <c r="M14" i="4"/>
  <c r="G20" i="4"/>
  <c r="O20" i="4"/>
  <c r="N21" i="4"/>
  <c r="E22" i="4"/>
  <c r="K22" i="4"/>
  <c r="S22" i="4"/>
  <c r="K23" i="4"/>
  <c r="S26" i="4"/>
  <c r="Q26" i="4"/>
  <c r="I27" i="4"/>
  <c r="Q28" i="4"/>
  <c r="C29" i="4"/>
  <c r="O30" i="4"/>
  <c r="I31" i="4"/>
  <c r="P31" i="4"/>
  <c r="C32" i="4"/>
  <c r="R32" i="4"/>
  <c r="C33" i="4"/>
  <c r="R33" i="4"/>
  <c r="F36" i="4"/>
  <c r="Q36" i="4"/>
  <c r="L39" i="4"/>
  <c r="C40" i="4"/>
  <c r="N40" i="4"/>
  <c r="O42" i="4"/>
  <c r="I43" i="4"/>
  <c r="I44" i="4"/>
  <c r="S44" i="4"/>
  <c r="D46" i="4"/>
  <c r="O46" i="4"/>
  <c r="I47" i="4"/>
  <c r="F48" i="4"/>
  <c r="Q48" i="4"/>
  <c r="D49" i="4"/>
  <c r="L50" i="4"/>
  <c r="N51" i="4"/>
  <c r="G52" i="4"/>
  <c r="E54" i="4"/>
  <c r="M54" i="4"/>
  <c r="G56" i="4"/>
  <c r="O56" i="4"/>
  <c r="C58" i="4"/>
  <c r="L59" i="4"/>
  <c r="D60" i="4"/>
  <c r="L60" i="4"/>
  <c r="F62" i="4"/>
  <c r="D63" i="4"/>
  <c r="P63" i="4"/>
  <c r="E64" i="4"/>
  <c r="M64" i="4"/>
  <c r="O66" i="4"/>
  <c r="C67" i="4"/>
  <c r="L67" i="4"/>
  <c r="D68" i="4"/>
  <c r="M69" i="4"/>
  <c r="J70" i="4"/>
  <c r="G71" i="4"/>
  <c r="P72" i="4"/>
  <c r="F74" i="4"/>
  <c r="C75" i="4"/>
  <c r="S75" i="4"/>
  <c r="P76" i="4"/>
  <c r="Q77" i="4"/>
  <c r="P6" i="4"/>
  <c r="Q6" i="4"/>
  <c r="I10" i="4"/>
  <c r="Q11" i="4"/>
  <c r="P14" i="4"/>
  <c r="Q14" i="4"/>
  <c r="I20" i="4"/>
  <c r="P20" i="4"/>
  <c r="F22" i="4"/>
  <c r="N22" i="4"/>
  <c r="P23" i="4"/>
  <c r="I25" i="4"/>
  <c r="C26" i="4"/>
  <c r="J27" i="4"/>
  <c r="K28" i="4"/>
  <c r="R28" i="4"/>
  <c r="G29" i="4"/>
  <c r="G30" i="4"/>
  <c r="D31" i="4"/>
  <c r="J31" i="4"/>
  <c r="Q31" i="4"/>
  <c r="F32" i="4"/>
  <c r="S32" i="4"/>
  <c r="D33" i="4"/>
  <c r="S33" i="4"/>
  <c r="I35" i="4"/>
  <c r="I36" i="4"/>
  <c r="S36" i="4"/>
  <c r="N39" i="4"/>
  <c r="F40" i="4"/>
  <c r="Q40" i="4"/>
  <c r="D42" i="4"/>
  <c r="Q42" i="4"/>
  <c r="L43" i="4"/>
  <c r="K44" i="4"/>
  <c r="G46" i="4"/>
  <c r="Q46" i="4"/>
  <c r="Q47" i="4"/>
  <c r="I48" i="4"/>
  <c r="S48" i="4"/>
  <c r="G49" i="4"/>
  <c r="D50" i="4"/>
  <c r="O50" i="4"/>
  <c r="K52" i="4"/>
  <c r="G54" i="4"/>
  <c r="O54" i="4"/>
  <c r="P56" i="4"/>
  <c r="I56" i="4"/>
  <c r="Q56" i="4"/>
  <c r="F57" i="4"/>
  <c r="G58" i="4"/>
  <c r="D59" i="4"/>
  <c r="O59" i="4"/>
  <c r="E60" i="4"/>
  <c r="M60" i="4"/>
  <c r="N62" i="4"/>
  <c r="H63" i="4"/>
  <c r="S63" i="4"/>
  <c r="H64" i="4"/>
  <c r="P64" i="4"/>
  <c r="J65" i="4"/>
  <c r="F66" i="4"/>
  <c r="D67" i="4"/>
  <c r="P67" i="4"/>
  <c r="H68" i="4"/>
  <c r="P69" i="4"/>
  <c r="Q69" i="4"/>
  <c r="K71" i="4"/>
  <c r="D72" i="4"/>
  <c r="N74" i="4"/>
  <c r="G75" i="4"/>
  <c r="S9" i="4"/>
  <c r="O9" i="4"/>
  <c r="K9" i="4"/>
  <c r="G9" i="4"/>
  <c r="C9" i="4"/>
  <c r="R9" i="4"/>
  <c r="N9" i="4"/>
  <c r="J9" i="4"/>
  <c r="F9" i="4"/>
  <c r="E9" i="4"/>
  <c r="L9" i="4"/>
  <c r="D9" i="4"/>
  <c r="Q9" i="4"/>
  <c r="M9" i="4"/>
  <c r="I9" i="4"/>
  <c r="P9" i="4"/>
  <c r="H9" i="4"/>
  <c r="S17" i="4"/>
  <c r="O17" i="4"/>
  <c r="K17" i="4"/>
  <c r="G17" i="4"/>
  <c r="C17" i="4"/>
  <c r="N17" i="4"/>
  <c r="I17" i="4"/>
  <c r="D17" i="4"/>
  <c r="P17" i="4"/>
  <c r="J17" i="4"/>
  <c r="E17" i="4"/>
  <c r="R17" i="4"/>
  <c r="M17" i="4"/>
  <c r="H17" i="4"/>
  <c r="Q17" i="4"/>
  <c r="L17" i="4"/>
  <c r="F17" i="4"/>
  <c r="R12" i="4"/>
  <c r="N12" i="4"/>
  <c r="J12" i="4"/>
  <c r="F12" i="4"/>
  <c r="O12" i="4"/>
  <c r="K12" i="4"/>
  <c r="C12" i="4"/>
  <c r="Q12" i="4"/>
  <c r="M12" i="4"/>
  <c r="I12" i="4"/>
  <c r="E12" i="4"/>
  <c r="S12" i="4"/>
  <c r="G12" i="4"/>
  <c r="P12" i="4"/>
  <c r="L12" i="4"/>
  <c r="H12" i="4"/>
  <c r="D12" i="4"/>
  <c r="S5" i="4"/>
  <c r="O5" i="4"/>
  <c r="K5" i="4"/>
  <c r="G5" i="4"/>
  <c r="C5" i="4"/>
  <c r="P5" i="4"/>
  <c r="L5" i="4"/>
  <c r="H5" i="4"/>
  <c r="D5" i="4"/>
  <c r="R5" i="4"/>
  <c r="N5" i="4"/>
  <c r="J5" i="4"/>
  <c r="F5" i="4"/>
  <c r="Q5" i="4"/>
  <c r="M5" i="4"/>
  <c r="I5" i="4"/>
  <c r="E5" i="4"/>
  <c r="S13" i="4"/>
  <c r="O13" i="4"/>
  <c r="K13" i="4"/>
  <c r="G13" i="4"/>
  <c r="C13" i="4"/>
  <c r="H13" i="4"/>
  <c r="R13" i="4"/>
  <c r="N13" i="4"/>
  <c r="J13" i="4"/>
  <c r="F13" i="4"/>
  <c r="P13" i="4"/>
  <c r="D13" i="4"/>
  <c r="Q13" i="4"/>
  <c r="M13" i="4"/>
  <c r="I13" i="4"/>
  <c r="E13" i="4"/>
  <c r="L13" i="4"/>
  <c r="Q41" i="4"/>
  <c r="M41" i="4"/>
  <c r="I41" i="4"/>
  <c r="E41" i="4"/>
  <c r="S41" i="4"/>
  <c r="N41" i="4"/>
  <c r="H41" i="4"/>
  <c r="C41" i="4"/>
  <c r="P41" i="4"/>
  <c r="K41" i="4"/>
  <c r="F41" i="4"/>
  <c r="R41" i="4"/>
  <c r="G41" i="4"/>
  <c r="O41" i="4"/>
  <c r="D41" i="4"/>
  <c r="J41" i="4"/>
  <c r="L41" i="4"/>
  <c r="R8" i="4"/>
  <c r="N8" i="4"/>
  <c r="J8" i="4"/>
  <c r="F8" i="4"/>
  <c r="Q8" i="4"/>
  <c r="M8" i="4"/>
  <c r="I8" i="4"/>
  <c r="E8" i="4"/>
  <c r="S8" i="4"/>
  <c r="O8" i="4"/>
  <c r="K8" i="4"/>
  <c r="G8" i="4"/>
  <c r="C8" i="4"/>
  <c r="P8" i="4"/>
  <c r="L8" i="4"/>
  <c r="H8" i="4"/>
  <c r="D8" i="4"/>
  <c r="R16" i="4"/>
  <c r="N16" i="4"/>
  <c r="J16" i="4"/>
  <c r="F16" i="4"/>
  <c r="Q16" i="4"/>
  <c r="L16" i="4"/>
  <c r="G16" i="4"/>
  <c r="P16" i="4"/>
  <c r="K16" i="4"/>
  <c r="E16" i="4"/>
  <c r="S16" i="4"/>
  <c r="M16" i="4"/>
  <c r="H16" i="4"/>
  <c r="C16" i="4"/>
  <c r="O16" i="4"/>
  <c r="I16" i="4"/>
  <c r="D16" i="4"/>
  <c r="Q19" i="4"/>
  <c r="M19" i="4"/>
  <c r="I19" i="4"/>
  <c r="E19" i="4"/>
  <c r="R19" i="4"/>
  <c r="L19" i="4"/>
  <c r="G19" i="4"/>
  <c r="H19" i="4"/>
  <c r="P19" i="4"/>
  <c r="K19" i="4"/>
  <c r="F19" i="4"/>
  <c r="O19" i="4"/>
  <c r="J19" i="4"/>
  <c r="D19" i="4"/>
  <c r="N19" i="4"/>
  <c r="C19" i="4"/>
  <c r="S19" i="4"/>
  <c r="F15" i="4"/>
  <c r="N15" i="4"/>
  <c r="M18" i="4"/>
  <c r="J15" i="4"/>
  <c r="R15" i="4"/>
  <c r="P73" i="4"/>
  <c r="L73" i="4"/>
  <c r="H73" i="4"/>
  <c r="D73" i="4"/>
  <c r="S73" i="4"/>
  <c r="O73" i="4"/>
  <c r="K73" i="4"/>
  <c r="G73" i="4"/>
  <c r="C73" i="4"/>
  <c r="R73" i="4"/>
  <c r="N73" i="4"/>
  <c r="J73" i="4"/>
  <c r="F73" i="4"/>
  <c r="Q73" i="4"/>
  <c r="M73" i="4"/>
  <c r="I73" i="4"/>
  <c r="E73" i="4"/>
  <c r="F6" i="4"/>
  <c r="J6" i="4"/>
  <c r="N6" i="4"/>
  <c r="R6" i="4"/>
  <c r="C11" i="4"/>
  <c r="G11" i="4"/>
  <c r="K11" i="4"/>
  <c r="O11" i="4"/>
  <c r="S11" i="4"/>
  <c r="F14" i="4"/>
  <c r="J14" i="4"/>
  <c r="N14" i="4"/>
  <c r="R14" i="4"/>
  <c r="C15" i="4"/>
  <c r="G15" i="4"/>
  <c r="K15" i="4"/>
  <c r="O15" i="4"/>
  <c r="S15" i="4"/>
  <c r="C18" i="4"/>
  <c r="I18" i="4"/>
  <c r="N18" i="4"/>
  <c r="S18" i="4"/>
  <c r="D21" i="4"/>
  <c r="I21" i="4"/>
  <c r="Q23" i="4"/>
  <c r="M23" i="4"/>
  <c r="I23" i="4"/>
  <c r="E23" i="4"/>
  <c r="G23" i="4"/>
  <c r="L23" i="4"/>
  <c r="R23" i="4"/>
  <c r="E24" i="4"/>
  <c r="M24" i="4"/>
  <c r="P25" i="4"/>
  <c r="L25" i="4"/>
  <c r="H25" i="4"/>
  <c r="D25" i="4"/>
  <c r="S25" i="4"/>
  <c r="O25" i="4"/>
  <c r="K25" i="4"/>
  <c r="G25" i="4"/>
  <c r="C25" i="4"/>
  <c r="J25" i="4"/>
  <c r="R25" i="4"/>
  <c r="R34" i="4"/>
  <c r="N34" i="4"/>
  <c r="J34" i="4"/>
  <c r="F34" i="4"/>
  <c r="P34" i="4"/>
  <c r="K34" i="4"/>
  <c r="E34" i="4"/>
  <c r="S34" i="4"/>
  <c r="M34" i="4"/>
  <c r="H34" i="4"/>
  <c r="C34" i="4"/>
  <c r="O34" i="4"/>
  <c r="D34" i="4"/>
  <c r="L34" i="4"/>
  <c r="Q37" i="4"/>
  <c r="M37" i="4"/>
  <c r="I37" i="4"/>
  <c r="E37" i="4"/>
  <c r="P37" i="4"/>
  <c r="K37" i="4"/>
  <c r="F37" i="4"/>
  <c r="S37" i="4"/>
  <c r="N37" i="4"/>
  <c r="H37" i="4"/>
  <c r="C37" i="4"/>
  <c r="O37" i="4"/>
  <c r="D37" i="4"/>
  <c r="L37" i="4"/>
  <c r="D45" i="4"/>
  <c r="S21" i="4"/>
  <c r="O21" i="4"/>
  <c r="K21" i="4"/>
  <c r="G21" i="4"/>
  <c r="C21" i="4"/>
  <c r="M21" i="4"/>
  <c r="D24" i="4"/>
  <c r="L24" i="4"/>
  <c r="R38" i="4"/>
  <c r="N38" i="4"/>
  <c r="J38" i="4"/>
  <c r="F38" i="4"/>
  <c r="S38" i="4"/>
  <c r="M38" i="4"/>
  <c r="H38" i="4"/>
  <c r="C38" i="4"/>
  <c r="P38" i="4"/>
  <c r="K38" i="4"/>
  <c r="E38" i="4"/>
  <c r="Q38" i="4"/>
  <c r="G38" i="4"/>
  <c r="O38" i="4"/>
  <c r="D38" i="4"/>
  <c r="C7" i="4"/>
  <c r="G7" i="4"/>
  <c r="K7" i="4"/>
  <c r="O7" i="4"/>
  <c r="S7" i="4"/>
  <c r="F10" i="4"/>
  <c r="J10" i="4"/>
  <c r="N10" i="4"/>
  <c r="R10" i="4"/>
  <c r="C6" i="4"/>
  <c r="G6" i="4"/>
  <c r="K6" i="4"/>
  <c r="O6" i="4"/>
  <c r="S6" i="4"/>
  <c r="D7" i="4"/>
  <c r="H7" i="4"/>
  <c r="L7" i="4"/>
  <c r="P7" i="4"/>
  <c r="C10" i="4"/>
  <c r="G10" i="4"/>
  <c r="K10" i="4"/>
  <c r="O10" i="4"/>
  <c r="S10" i="4"/>
  <c r="D11" i="4"/>
  <c r="H11" i="4"/>
  <c r="L11" i="4"/>
  <c r="P11" i="4"/>
  <c r="C14" i="4"/>
  <c r="G14" i="4"/>
  <c r="K14" i="4"/>
  <c r="O14" i="4"/>
  <c r="S14" i="4"/>
  <c r="D15" i="4"/>
  <c r="H15" i="4"/>
  <c r="L15" i="4"/>
  <c r="P15" i="4"/>
  <c r="E18" i="4"/>
  <c r="J18" i="4"/>
  <c r="C20" i="4"/>
  <c r="H20" i="4"/>
  <c r="M20" i="4"/>
  <c r="E21" i="4"/>
  <c r="J21" i="4"/>
  <c r="P21" i="4"/>
  <c r="P22" i="4"/>
  <c r="L22" i="4"/>
  <c r="H22" i="4"/>
  <c r="D22" i="4"/>
  <c r="G22" i="4"/>
  <c r="M22" i="4"/>
  <c r="R22" i="4"/>
  <c r="C23" i="4"/>
  <c r="H23" i="4"/>
  <c r="N23" i="4"/>
  <c r="S23" i="4"/>
  <c r="H24" i="4"/>
  <c r="E25" i="4"/>
  <c r="M25" i="4"/>
  <c r="H26" i="4"/>
  <c r="S27" i="4"/>
  <c r="O27" i="4"/>
  <c r="K27" i="4"/>
  <c r="G27" i="4"/>
  <c r="C27" i="4"/>
  <c r="R27" i="4"/>
  <c r="M27" i="4"/>
  <c r="H27" i="4"/>
  <c r="Q27" i="4"/>
  <c r="L27" i="4"/>
  <c r="F27" i="4"/>
  <c r="G34" i="4"/>
  <c r="G37" i="4"/>
  <c r="I38" i="4"/>
  <c r="F7" i="4"/>
  <c r="J7" i="4"/>
  <c r="N7" i="4"/>
  <c r="R7" i="4"/>
  <c r="F11" i="4"/>
  <c r="J11" i="4"/>
  <c r="N11" i="4"/>
  <c r="R11" i="4"/>
  <c r="P18" i="4"/>
  <c r="L18" i="4"/>
  <c r="H18" i="4"/>
  <c r="D18" i="4"/>
  <c r="G18" i="4"/>
  <c r="R18" i="4"/>
  <c r="H21" i="4"/>
  <c r="R21" i="4"/>
  <c r="S24" i="4"/>
  <c r="O24" i="4"/>
  <c r="K24" i="4"/>
  <c r="G24" i="4"/>
  <c r="C24" i="4"/>
  <c r="R24" i="4"/>
  <c r="N24" i="4"/>
  <c r="J24" i="4"/>
  <c r="F24" i="4"/>
  <c r="S35" i="4"/>
  <c r="O35" i="4"/>
  <c r="K35" i="4"/>
  <c r="G35" i="4"/>
  <c r="C35" i="4"/>
  <c r="R35" i="4"/>
  <c r="M35" i="4"/>
  <c r="H35" i="4"/>
  <c r="P35" i="4"/>
  <c r="J35" i="4"/>
  <c r="E35" i="4"/>
  <c r="Q35" i="4"/>
  <c r="F35" i="4"/>
  <c r="N35" i="4"/>
  <c r="D35" i="4"/>
  <c r="Q45" i="4"/>
  <c r="M45" i="4"/>
  <c r="I45" i="4"/>
  <c r="E45" i="4"/>
  <c r="P45" i="4"/>
  <c r="K45" i="4"/>
  <c r="F45" i="4"/>
  <c r="S45" i="4"/>
  <c r="N45" i="4"/>
  <c r="H45" i="4"/>
  <c r="C45" i="4"/>
  <c r="J45" i="4"/>
  <c r="R45" i="4"/>
  <c r="G45" i="4"/>
  <c r="D6" i="4"/>
  <c r="H6" i="4"/>
  <c r="L6" i="4"/>
  <c r="E7" i="4"/>
  <c r="I7" i="4"/>
  <c r="M7" i="4"/>
  <c r="D10" i="4"/>
  <c r="H10" i="4"/>
  <c r="L10" i="4"/>
  <c r="E11" i="4"/>
  <c r="I11" i="4"/>
  <c r="M11" i="4"/>
  <c r="D14" i="4"/>
  <c r="H14" i="4"/>
  <c r="L14" i="4"/>
  <c r="E15" i="4"/>
  <c r="I15" i="4"/>
  <c r="M15" i="4"/>
  <c r="F18" i="4"/>
  <c r="K18" i="4"/>
  <c r="Q18" i="4"/>
  <c r="R20" i="4"/>
  <c r="N20" i="4"/>
  <c r="J20" i="4"/>
  <c r="F20" i="4"/>
  <c r="F21" i="4"/>
  <c r="L21" i="4"/>
  <c r="Q21" i="4"/>
  <c r="D23" i="4"/>
  <c r="J23" i="4"/>
  <c r="O23" i="4"/>
  <c r="I24" i="4"/>
  <c r="Q24" i="4"/>
  <c r="F25" i="4"/>
  <c r="N25" i="4"/>
  <c r="R26" i="4"/>
  <c r="N26" i="4"/>
  <c r="J26" i="4"/>
  <c r="F26" i="4"/>
  <c r="P26" i="4"/>
  <c r="K26" i="4"/>
  <c r="E26" i="4"/>
  <c r="O26" i="4"/>
  <c r="I26" i="4"/>
  <c r="D26" i="4"/>
  <c r="L26" i="4"/>
  <c r="P28" i="4"/>
  <c r="L28" i="4"/>
  <c r="H28" i="4"/>
  <c r="D28" i="4"/>
  <c r="O28" i="4"/>
  <c r="J28" i="4"/>
  <c r="E28" i="4"/>
  <c r="S28" i="4"/>
  <c r="N28" i="4"/>
  <c r="I28" i="4"/>
  <c r="C28" i="4"/>
  <c r="M28" i="4"/>
  <c r="Q29" i="4"/>
  <c r="M29" i="4"/>
  <c r="I29" i="4"/>
  <c r="E29" i="4"/>
  <c r="S29" i="4"/>
  <c r="P29" i="4"/>
  <c r="K29" i="4"/>
  <c r="F29" i="4"/>
  <c r="O29" i="4"/>
  <c r="J29" i="4"/>
  <c r="D29" i="4"/>
  <c r="L29" i="4"/>
  <c r="R30" i="4"/>
  <c r="N30" i="4"/>
  <c r="J30" i="4"/>
  <c r="F30" i="4"/>
  <c r="P30" i="4"/>
  <c r="K30" i="4"/>
  <c r="E30" i="4"/>
  <c r="S30" i="4"/>
  <c r="L30" i="4"/>
  <c r="D30" i="4"/>
  <c r="Q30" i="4"/>
  <c r="I30" i="4"/>
  <c r="C30" i="4"/>
  <c r="I34" i="4"/>
  <c r="L35" i="4"/>
  <c r="J37" i="4"/>
  <c r="L38" i="4"/>
  <c r="O45" i="4"/>
  <c r="S47" i="4"/>
  <c r="O47" i="4"/>
  <c r="K47" i="4"/>
  <c r="G47" i="4"/>
  <c r="C47" i="4"/>
  <c r="P47" i="4"/>
  <c r="J47" i="4"/>
  <c r="E47" i="4"/>
  <c r="R47" i="4"/>
  <c r="M47" i="4"/>
  <c r="H47" i="4"/>
  <c r="N47" i="4"/>
  <c r="D47" i="4"/>
  <c r="L47" i="4"/>
  <c r="S51" i="4"/>
  <c r="O51" i="4"/>
  <c r="K51" i="4"/>
  <c r="G51" i="4"/>
  <c r="C51" i="4"/>
  <c r="R51" i="4"/>
  <c r="M51" i="4"/>
  <c r="H51" i="4"/>
  <c r="Q51" i="4"/>
  <c r="L51" i="4"/>
  <c r="F51" i="4"/>
  <c r="P51" i="4"/>
  <c r="J51" i="4"/>
  <c r="E51" i="4"/>
  <c r="I51" i="4"/>
  <c r="D51" i="4"/>
  <c r="Q53" i="4"/>
  <c r="M53" i="4"/>
  <c r="I53" i="4"/>
  <c r="E53" i="4"/>
  <c r="S53" i="4"/>
  <c r="O53" i="4"/>
  <c r="K53" i="4"/>
  <c r="G53" i="4"/>
  <c r="C53" i="4"/>
  <c r="P53" i="4"/>
  <c r="H53" i="4"/>
  <c r="N53" i="4"/>
  <c r="F53" i="4"/>
  <c r="L53" i="4"/>
  <c r="D53" i="4"/>
  <c r="R53" i="4"/>
  <c r="J53" i="4"/>
  <c r="S31" i="4"/>
  <c r="O31" i="4"/>
  <c r="K31" i="4"/>
  <c r="G31" i="4"/>
  <c r="C31" i="4"/>
  <c r="R31" i="4"/>
  <c r="M31" i="4"/>
  <c r="H31" i="4"/>
  <c r="G32" i="4"/>
  <c r="G33" i="4"/>
  <c r="F39" i="4"/>
  <c r="G42" i="4"/>
  <c r="S43" i="4"/>
  <c r="O43" i="4"/>
  <c r="K43" i="4"/>
  <c r="G43" i="4"/>
  <c r="C43" i="4"/>
  <c r="R43" i="4"/>
  <c r="M43" i="4"/>
  <c r="H43" i="4"/>
  <c r="P43" i="4"/>
  <c r="J43" i="4"/>
  <c r="E43" i="4"/>
  <c r="R46" i="4"/>
  <c r="N46" i="4"/>
  <c r="J46" i="4"/>
  <c r="F46" i="4"/>
  <c r="S46" i="4"/>
  <c r="M46" i="4"/>
  <c r="H46" i="4"/>
  <c r="C46" i="4"/>
  <c r="P46" i="4"/>
  <c r="K46" i="4"/>
  <c r="E46" i="4"/>
  <c r="P32" i="4"/>
  <c r="L32" i="4"/>
  <c r="H32" i="4"/>
  <c r="D32" i="4"/>
  <c r="O32" i="4"/>
  <c r="J32" i="4"/>
  <c r="E32" i="4"/>
  <c r="I32" i="4"/>
  <c r="Q32" i="4"/>
  <c r="Q33" i="4"/>
  <c r="M33" i="4"/>
  <c r="I33" i="4"/>
  <c r="E33" i="4"/>
  <c r="P33" i="4"/>
  <c r="K33" i="4"/>
  <c r="F33" i="4"/>
  <c r="H33" i="4"/>
  <c r="O33" i="4"/>
  <c r="S39" i="4"/>
  <c r="O39" i="4"/>
  <c r="K39" i="4"/>
  <c r="G39" i="4"/>
  <c r="C39" i="4"/>
  <c r="P39" i="4"/>
  <c r="J39" i="4"/>
  <c r="E39" i="4"/>
  <c r="R39" i="4"/>
  <c r="M39" i="4"/>
  <c r="H39" i="4"/>
  <c r="R42" i="4"/>
  <c r="N42" i="4"/>
  <c r="J42" i="4"/>
  <c r="F42" i="4"/>
  <c r="P42" i="4"/>
  <c r="K42" i="4"/>
  <c r="E42" i="4"/>
  <c r="S42" i="4"/>
  <c r="M42" i="4"/>
  <c r="H42" i="4"/>
  <c r="C42" i="4"/>
  <c r="Q49" i="4"/>
  <c r="M49" i="4"/>
  <c r="I49" i="4"/>
  <c r="E49" i="4"/>
  <c r="S49" i="4"/>
  <c r="N49" i="4"/>
  <c r="H49" i="4"/>
  <c r="C49" i="4"/>
  <c r="P49" i="4"/>
  <c r="K49" i="4"/>
  <c r="F49" i="4"/>
  <c r="L49" i="4"/>
  <c r="S55" i="4"/>
  <c r="O55" i="4"/>
  <c r="K55" i="4"/>
  <c r="G55" i="4"/>
  <c r="C55" i="4"/>
  <c r="Q55" i="4"/>
  <c r="M55" i="4"/>
  <c r="I55" i="4"/>
  <c r="E55" i="4"/>
  <c r="P55" i="4"/>
  <c r="H55" i="4"/>
  <c r="N55" i="4"/>
  <c r="F55" i="4"/>
  <c r="L55" i="4"/>
  <c r="D55" i="4"/>
  <c r="P61" i="4"/>
  <c r="L61" i="4"/>
  <c r="H61" i="4"/>
  <c r="D61" i="4"/>
  <c r="S61" i="4"/>
  <c r="O61" i="4"/>
  <c r="K61" i="4"/>
  <c r="G61" i="4"/>
  <c r="C61" i="4"/>
  <c r="Q61" i="4"/>
  <c r="I61" i="4"/>
  <c r="N61" i="4"/>
  <c r="F61" i="4"/>
  <c r="M61" i="4"/>
  <c r="E61" i="4"/>
  <c r="R61" i="4"/>
  <c r="J61" i="4"/>
  <c r="P36" i="4"/>
  <c r="L36" i="4"/>
  <c r="H36" i="4"/>
  <c r="D36" i="4"/>
  <c r="G36" i="4"/>
  <c r="M36" i="4"/>
  <c r="R36" i="4"/>
  <c r="E40" i="4"/>
  <c r="J40" i="4"/>
  <c r="P44" i="4"/>
  <c r="L44" i="4"/>
  <c r="H44" i="4"/>
  <c r="D44" i="4"/>
  <c r="G44" i="4"/>
  <c r="M44" i="4"/>
  <c r="R44" i="4"/>
  <c r="E48" i="4"/>
  <c r="J48" i="4"/>
  <c r="C50" i="4"/>
  <c r="H50" i="4"/>
  <c r="M50" i="4"/>
  <c r="P52" i="4"/>
  <c r="L52" i="4"/>
  <c r="H52" i="4"/>
  <c r="D52" i="4"/>
  <c r="R52" i="4"/>
  <c r="N52" i="4"/>
  <c r="J52" i="4"/>
  <c r="F52" i="4"/>
  <c r="I52" i="4"/>
  <c r="Q52" i="4"/>
  <c r="Q57" i="4"/>
  <c r="M57" i="4"/>
  <c r="I57" i="4"/>
  <c r="E57" i="4"/>
  <c r="P57" i="4"/>
  <c r="L57" i="4"/>
  <c r="H57" i="4"/>
  <c r="D57" i="4"/>
  <c r="S57" i="4"/>
  <c r="O57" i="4"/>
  <c r="K57" i="4"/>
  <c r="G57" i="4"/>
  <c r="C57" i="4"/>
  <c r="R57" i="4"/>
  <c r="P65" i="4"/>
  <c r="L65" i="4"/>
  <c r="H65" i="4"/>
  <c r="D65" i="4"/>
  <c r="S65" i="4"/>
  <c r="O65" i="4"/>
  <c r="K65" i="4"/>
  <c r="G65" i="4"/>
  <c r="C65" i="4"/>
  <c r="Q65" i="4"/>
  <c r="I65" i="4"/>
  <c r="N65" i="4"/>
  <c r="F65" i="4"/>
  <c r="M65" i="4"/>
  <c r="E65" i="4"/>
  <c r="R50" i="4"/>
  <c r="N50" i="4"/>
  <c r="J50" i="4"/>
  <c r="F50" i="4"/>
  <c r="E36" i="4"/>
  <c r="J36" i="4"/>
  <c r="O36" i="4"/>
  <c r="P40" i="4"/>
  <c r="L40" i="4"/>
  <c r="H40" i="4"/>
  <c r="D40" i="4"/>
  <c r="G40" i="4"/>
  <c r="M40" i="4"/>
  <c r="R40" i="4"/>
  <c r="E44" i="4"/>
  <c r="J44" i="4"/>
  <c r="O44" i="4"/>
  <c r="P48" i="4"/>
  <c r="L48" i="4"/>
  <c r="H48" i="4"/>
  <c r="D48" i="4"/>
  <c r="G48" i="4"/>
  <c r="M48" i="4"/>
  <c r="R48" i="4"/>
  <c r="E50" i="4"/>
  <c r="K50" i="4"/>
  <c r="P50" i="4"/>
  <c r="E52" i="4"/>
  <c r="M52" i="4"/>
  <c r="R54" i="4"/>
  <c r="N54" i="4"/>
  <c r="J54" i="4"/>
  <c r="F54" i="4"/>
  <c r="P54" i="4"/>
  <c r="L54" i="4"/>
  <c r="H54" i="4"/>
  <c r="D54" i="4"/>
  <c r="J57" i="4"/>
  <c r="Q58" i="4"/>
  <c r="S58" i="4"/>
  <c r="N58" i="4"/>
  <c r="J58" i="4"/>
  <c r="F58" i="4"/>
  <c r="R58" i="4"/>
  <c r="M58" i="4"/>
  <c r="I58" i="4"/>
  <c r="E58" i="4"/>
  <c r="P58" i="4"/>
  <c r="L58" i="4"/>
  <c r="H58" i="4"/>
  <c r="D58" i="4"/>
  <c r="F56" i="4"/>
  <c r="J56" i="4"/>
  <c r="N56" i="4"/>
  <c r="R56" i="4"/>
  <c r="C59" i="4"/>
  <c r="H59" i="4"/>
  <c r="M59" i="4"/>
  <c r="G62" i="4"/>
  <c r="G66" i="4"/>
  <c r="Q74" i="4"/>
  <c r="M74" i="4"/>
  <c r="I74" i="4"/>
  <c r="E74" i="4"/>
  <c r="P74" i="4"/>
  <c r="L74" i="4"/>
  <c r="H74" i="4"/>
  <c r="D74" i="4"/>
  <c r="S74" i="4"/>
  <c r="O74" i="4"/>
  <c r="K74" i="4"/>
  <c r="G74" i="4"/>
  <c r="C74" i="4"/>
  <c r="R74" i="4"/>
  <c r="R59" i="4"/>
  <c r="N59" i="4"/>
  <c r="J59" i="4"/>
  <c r="F59" i="4"/>
  <c r="Q62" i="4"/>
  <c r="M62" i="4"/>
  <c r="I62" i="4"/>
  <c r="E62" i="4"/>
  <c r="P62" i="4"/>
  <c r="L62" i="4"/>
  <c r="H62" i="4"/>
  <c r="D62" i="4"/>
  <c r="J62" i="4"/>
  <c r="R62" i="4"/>
  <c r="R63" i="4"/>
  <c r="N63" i="4"/>
  <c r="J63" i="4"/>
  <c r="F63" i="4"/>
  <c r="Q63" i="4"/>
  <c r="M63" i="4"/>
  <c r="I63" i="4"/>
  <c r="E63" i="4"/>
  <c r="Q66" i="4"/>
  <c r="M66" i="4"/>
  <c r="I66" i="4"/>
  <c r="E66" i="4"/>
  <c r="P66" i="4"/>
  <c r="L66" i="4"/>
  <c r="H66" i="4"/>
  <c r="D66" i="4"/>
  <c r="J66" i="4"/>
  <c r="R66" i="4"/>
  <c r="R67" i="4"/>
  <c r="N67" i="4"/>
  <c r="J67" i="4"/>
  <c r="F67" i="4"/>
  <c r="Q67" i="4"/>
  <c r="M67" i="4"/>
  <c r="I67" i="4"/>
  <c r="E67" i="4"/>
  <c r="Q70" i="4"/>
  <c r="M70" i="4"/>
  <c r="I70" i="4"/>
  <c r="E70" i="4"/>
  <c r="P70" i="4"/>
  <c r="L70" i="4"/>
  <c r="H70" i="4"/>
  <c r="D70" i="4"/>
  <c r="S70" i="4"/>
  <c r="O70" i="4"/>
  <c r="K70" i="4"/>
  <c r="G70" i="4"/>
  <c r="C70" i="4"/>
  <c r="R70" i="4"/>
  <c r="S76" i="4"/>
  <c r="O76" i="4"/>
  <c r="K76" i="4"/>
  <c r="G76" i="4"/>
  <c r="C76" i="4"/>
  <c r="R76" i="4"/>
  <c r="N76" i="4"/>
  <c r="J76" i="4"/>
  <c r="F76" i="4"/>
  <c r="Q76" i="4"/>
  <c r="M76" i="4"/>
  <c r="I76" i="4"/>
  <c r="E76" i="4"/>
  <c r="D56" i="4"/>
  <c r="H56" i="4"/>
  <c r="L56" i="4"/>
  <c r="E59" i="4"/>
  <c r="K59" i="4"/>
  <c r="P59" i="4"/>
  <c r="S60" i="4"/>
  <c r="O60" i="4"/>
  <c r="K60" i="4"/>
  <c r="G60" i="4"/>
  <c r="C60" i="4"/>
  <c r="R60" i="4"/>
  <c r="N60" i="4"/>
  <c r="J60" i="4"/>
  <c r="F60" i="4"/>
  <c r="C62" i="4"/>
  <c r="K62" i="4"/>
  <c r="S62" i="4"/>
  <c r="G63" i="4"/>
  <c r="O63" i="4"/>
  <c r="S64" i="4"/>
  <c r="O64" i="4"/>
  <c r="K64" i="4"/>
  <c r="G64" i="4"/>
  <c r="C64" i="4"/>
  <c r="R64" i="4"/>
  <c r="N64" i="4"/>
  <c r="J64" i="4"/>
  <c r="F64" i="4"/>
  <c r="C66" i="4"/>
  <c r="K66" i="4"/>
  <c r="S66" i="4"/>
  <c r="G67" i="4"/>
  <c r="O67" i="4"/>
  <c r="S68" i="4"/>
  <c r="O68" i="4"/>
  <c r="K68" i="4"/>
  <c r="G68" i="4"/>
  <c r="C68" i="4"/>
  <c r="R68" i="4"/>
  <c r="N68" i="4"/>
  <c r="J68" i="4"/>
  <c r="F68" i="4"/>
  <c r="Q68" i="4"/>
  <c r="M68" i="4"/>
  <c r="I68" i="4"/>
  <c r="E68" i="4"/>
  <c r="F70" i="4"/>
  <c r="S72" i="4"/>
  <c r="O72" i="4"/>
  <c r="K72" i="4"/>
  <c r="G72" i="4"/>
  <c r="C72" i="4"/>
  <c r="R72" i="4"/>
  <c r="N72" i="4"/>
  <c r="J72" i="4"/>
  <c r="F72" i="4"/>
  <c r="Q72" i="4"/>
  <c r="M72" i="4"/>
  <c r="I72" i="4"/>
  <c r="E72" i="4"/>
  <c r="J74" i="4"/>
  <c r="H76" i="4"/>
  <c r="P77" i="4"/>
  <c r="L77" i="4"/>
  <c r="H77" i="4"/>
  <c r="D77" i="4"/>
  <c r="S77" i="4"/>
  <c r="O77" i="4"/>
  <c r="K77" i="4"/>
  <c r="G77" i="4"/>
  <c r="C77" i="4"/>
  <c r="R77" i="4"/>
  <c r="N77" i="4"/>
  <c r="J77" i="4"/>
  <c r="F77" i="4"/>
  <c r="F69" i="4"/>
  <c r="J69" i="4"/>
  <c r="N69" i="4"/>
  <c r="R69" i="4"/>
  <c r="D71" i="4"/>
  <c r="H71" i="4"/>
  <c r="L71" i="4"/>
  <c r="P71" i="4"/>
  <c r="D75" i="4"/>
  <c r="H75" i="4"/>
  <c r="L75" i="4"/>
  <c r="P75" i="4"/>
  <c r="C69" i="4"/>
  <c r="G69" i="4"/>
  <c r="K69" i="4"/>
  <c r="O69" i="4"/>
  <c r="S69" i="4"/>
  <c r="E71" i="4"/>
  <c r="I71" i="4"/>
  <c r="M71" i="4"/>
  <c r="Q71" i="4"/>
  <c r="E75" i="4"/>
  <c r="I75" i="4"/>
  <c r="M75" i="4"/>
  <c r="Q75" i="4"/>
  <c r="D69" i="4"/>
  <c r="H69" i="4"/>
  <c r="L69" i="4"/>
  <c r="F71" i="4"/>
  <c r="J71" i="4"/>
  <c r="N71" i="4"/>
  <c r="F75" i="4"/>
  <c r="J75" i="4"/>
  <c r="N75" i="4"/>
</calcChain>
</file>

<file path=xl/sharedStrings.xml><?xml version="1.0" encoding="utf-8"?>
<sst xmlns="http://schemas.openxmlformats.org/spreadsheetml/2006/main" count="3701" uniqueCount="300">
  <si>
    <t>Example for Excel /programmer</t>
  </si>
  <si>
    <t>Database</t>
  </si>
  <si>
    <t>Owner</t>
  </si>
  <si>
    <t>Domain URL</t>
  </si>
  <si>
    <t>Spam Score Moz</t>
  </si>
  <si>
    <t>DA Moz</t>
  </si>
  <si>
    <t>PA Moz</t>
  </si>
  <si>
    <t>Industry Spec</t>
  </si>
  <si>
    <t>Loc Specific</t>
  </si>
  <si>
    <t>Multi location</t>
  </si>
  <si>
    <t>Submit Freq</t>
  </si>
  <si>
    <t>Type</t>
  </si>
  <si>
    <t>#Words/Char.</t>
  </si>
  <si>
    <t>Submission URL</t>
  </si>
  <si>
    <t>Cost</t>
  </si>
  <si>
    <t>How to Submit</t>
  </si>
  <si>
    <t>Writer URL</t>
  </si>
  <si>
    <t>Comments</t>
  </si>
  <si>
    <t>411.ca</t>
  </si>
  <si>
    <t>--%</t>
  </si>
  <si>
    <t>directorym.com</t>
  </si>
  <si>
    <t>geek-tools.org</t>
  </si>
  <si>
    <t>ezilon.com</t>
  </si>
  <si>
    <t>cdon.info</t>
  </si>
  <si>
    <t>intently.co</t>
  </si>
  <si>
    <t>cleaningcompanygortova.blogspot.com</t>
  </si>
  <si>
    <t>cleaningjobanokako.blogspot.com</t>
  </si>
  <si>
    <t>cleaningjobporongi.blogspot.com</t>
  </si>
  <si>
    <t>cleaningjobsgornik.blogspot.com</t>
  </si>
  <si>
    <t>cleaningserviceemiwazayo.blogspot.com</t>
  </si>
  <si>
    <t>cleaningserviceshobaika.blogspot.com</t>
  </si>
  <si>
    <t>cleaningserviceskomarila.blogspot.com</t>
  </si>
  <si>
    <t>cleaningservicezapad.blogspot.com</t>
  </si>
  <si>
    <t>commercialcleaningenindeki.blogspot.com</t>
  </si>
  <si>
    <t>commercialcleaningpersiki.blogspot.com</t>
  </si>
  <si>
    <t>commercialcleaningserviceskirosora.blogspot.com</t>
  </si>
  <si>
    <t>commercialconstructionfumihogo.blogspot.com</t>
  </si>
  <si>
    <t>companyontop.com</t>
  </si>
  <si>
    <t>constructionjobmoinpa.blogspot.com</t>
  </si>
  <si>
    <t>dirpopulus.org</t>
  </si>
  <si>
    <t>firstfollower.com</t>
  </si>
  <si>
    <t>housecleaningbester.blogspot.com</t>
  </si>
  <si>
    <t>nebocom.press</t>
  </si>
  <si>
    <t>listingsca.com</t>
  </si>
  <si>
    <t>mbicorp.ca</t>
  </si>
  <si>
    <t>milanosiamonoi.se</t>
  </si>
  <si>
    <t>nav123.net</t>
  </si>
  <si>
    <t>norgould.com</t>
  </si>
  <si>
    <t>officecleaningekeiwaki.blogspot.com</t>
  </si>
  <si>
    <t>officecleaningpokabako.blogspot.com</t>
  </si>
  <si>
    <t>officecleaningtochka.blogspot.com</t>
  </si>
  <si>
    <t>allofcanada.com</t>
  </si>
  <si>
    <t>cdncompanies.com</t>
  </si>
  <si>
    <t>canada-stores.com</t>
  </si>
  <si>
    <t>canadiancontractorsnearme.com</t>
  </si>
  <si>
    <t>ow.ly</t>
  </si>
  <si>
    <t>prlog.ru</t>
  </si>
  <si>
    <t>reneesbokforing.online</t>
  </si>
  <si>
    <t>clientdemo.ca</t>
  </si>
  <si>
    <t>sitesweb.ca</t>
  </si>
  <si>
    <t>shopsmallbiz.ca</t>
  </si>
  <si>
    <t>updowntoday.com</t>
  </si>
  <si>
    <t>websites.ca</t>
  </si>
  <si>
    <t>askmap.net</t>
  </si>
  <si>
    <t>bbb.org</t>
  </si>
  <si>
    <t>canadian1.net</t>
  </si>
  <si>
    <t>canadianbusinessdirectory.ca</t>
  </si>
  <si>
    <t>canadianhomeimprovements4u.com</t>
  </si>
  <si>
    <t>casafolio.com</t>
  </si>
  <si>
    <t>cdnpages.ca</t>
  </si>
  <si>
    <t>cleanyx.com</t>
  </si>
  <si>
    <t>emutop.net</t>
  </si>
  <si>
    <t>eqlic.com</t>
  </si>
  <si>
    <t>fyple.ca</t>
  </si>
  <si>
    <t>hisearch.today</t>
  </si>
  <si>
    <t>ic.gc.ca</t>
  </si>
  <si>
    <t>nexdu.com</t>
  </si>
  <si>
    <t>ottawamove.com</t>
  </si>
  <si>
    <t>seekon.com</t>
  </si>
  <si>
    <t>sitedownrightnow.com</t>
  </si>
  <si>
    <t>webwiki.com</t>
  </si>
  <si>
    <t>yoys.ca</t>
  </si>
  <si>
    <t>zoominfo.com</t>
  </si>
  <si>
    <t>writer</t>
  </si>
  <si>
    <t>LB</t>
  </si>
  <si>
    <t>Pass</t>
  </si>
  <si>
    <t>pass</t>
  </si>
  <si>
    <t>businessweek.directorym.com</t>
  </si>
  <si>
    <t>ca.geek-tools.org</t>
  </si>
  <si>
    <t>can.ezilon.com</t>
  </si>
  <si>
    <t>cleaning.intently.co</t>
  </si>
  <si>
    <t>Canada</t>
  </si>
  <si>
    <t>iik.nebocom.press</t>
  </si>
  <si>
    <t>ottawa.allofcanada.com</t>
  </si>
  <si>
    <t>ottawa.cdncompanies.com</t>
  </si>
  <si>
    <t>ottawa-on.canada-stores.com</t>
  </si>
  <si>
    <t>ottawa-on.canadiancontractorsnearme.com</t>
  </si>
  <si>
    <t>www.cdnpages.ca</t>
  </si>
  <si>
    <t>www.cleanyx.com</t>
  </si>
  <si>
    <t>www.emutop.net</t>
  </si>
  <si>
    <t>www.eqlic.com</t>
  </si>
  <si>
    <t>www.fyple.ca</t>
  </si>
  <si>
    <t>www.hisearch.today</t>
  </si>
  <si>
    <t>www.ic.gc.ca</t>
  </si>
  <si>
    <t>www.nexdu.com</t>
  </si>
  <si>
    <t>www.ottawamove.com</t>
  </si>
  <si>
    <t>www.seekon.com</t>
  </si>
  <si>
    <t>www.sitedownrightnow.com</t>
  </si>
  <si>
    <t>http://411.ca</t>
  </si>
  <si>
    <t>https://businessweek.directorym.com</t>
  </si>
  <si>
    <t>https://ca.geek-tools.org</t>
  </si>
  <si>
    <t>http://can.ezilon.com</t>
  </si>
  <si>
    <t>https://cdon.info</t>
  </si>
  <si>
    <t>http://cleaning.intently.co</t>
  </si>
  <si>
    <t>https://www.cleaningcompanygortova.blogspot.com</t>
  </si>
  <si>
    <t>https://cleaningjobanokako.blogspot.com</t>
  </si>
  <si>
    <t>http://cleaningjobporongi.blogspot.com</t>
  </si>
  <si>
    <t>https://cleaningjobsgornik.blogspot.com</t>
  </si>
  <si>
    <t>http://cleaningserviceemiwazayo.blogspot.com</t>
  </si>
  <si>
    <t>www.cleaningserviceshobaika.blogspot.com</t>
  </si>
  <si>
    <t>https://cleaningserviceskomarila.blogspot.com</t>
  </si>
  <si>
    <t>http://cleaningservicezapad.blogspot.com</t>
  </si>
  <si>
    <t>https://www.commercialcleaningenindeki.blogspot.com</t>
  </si>
  <si>
    <t>https://commercialcleaningpersiki.blogspot.com</t>
  </si>
  <si>
    <t>https://commercialcleaningserviceskirosora.blogspot.com</t>
  </si>
  <si>
    <t>https://www.commercialconstructionfumihogo.blogspot.com</t>
  </si>
  <si>
    <t>http://companyontop.com</t>
  </si>
  <si>
    <t>www.constructionjobmoinpa.blogspot.com</t>
  </si>
  <si>
    <t>Match</t>
  </si>
  <si>
    <t>no match</t>
  </si>
  <si>
    <t>www.300blackbroth.com</t>
  </si>
  <si>
    <t>www.aboutus.com</t>
  </si>
  <si>
    <t>http://injoybusiness.co</t>
  </si>
  <si>
    <t>https://bizfluent.com</t>
  </si>
  <si>
    <t>https://businessabc.ca</t>
  </si>
  <si>
    <t>http://canadaregistry.ca</t>
  </si>
  <si>
    <t>https://www.cleaningfranchiseebunwaru.blogspot.com</t>
  </si>
  <si>
    <t>https://www.cleaningfranchisemachifuna.blogspot.com</t>
  </si>
  <si>
    <t>www.cleaningfranchisemoagen.blogspot.com</t>
  </si>
  <si>
    <t>www.cleaningfranchiseruzik.blogspot.com</t>
  </si>
  <si>
    <t>http://yudu.com</t>
  </si>
  <si>
    <t>https://hubspot.com</t>
  </si>
  <si>
    <t>https://justlanded.com</t>
  </si>
  <si>
    <t>http://emprendimientosros.com</t>
  </si>
  <si>
    <t>https://www.franchise-business.net</t>
  </si>
  <si>
    <t>https://www.gust.com</t>
  </si>
  <si>
    <t>homedirect.xyz</t>
  </si>
  <si>
    <t>host.io</t>
  </si>
  <si>
    <t>incasa.site</t>
  </si>
  <si>
    <t>janitorialserviceskatesa.blogspot.com</t>
  </si>
  <si>
    <t>jraces.com</t>
  </si>
  <si>
    <t>localyaar.com</t>
  </si>
  <si>
    <t>mappca.com</t>
  </si>
  <si>
    <t>pr.co</t>
  </si>
  <si>
    <t>membee.com</t>
  </si>
  <si>
    <t>constantcontact.com</t>
  </si>
  <si>
    <t>open</t>
  </si>
  <si>
    <t>Accountanting</t>
  </si>
  <si>
    <t>Services</t>
  </si>
  <si>
    <t>Tech</t>
  </si>
  <si>
    <t>Open</t>
  </si>
  <si>
    <t>North amercia</t>
  </si>
  <si>
    <t>Toronto</t>
  </si>
  <si>
    <t>No</t>
  </si>
  <si>
    <t>no</t>
  </si>
  <si>
    <t>yes</t>
  </si>
  <si>
    <t>Article- High</t>
  </si>
  <si>
    <t>Article- Average</t>
  </si>
  <si>
    <t>Blog</t>
  </si>
  <si>
    <t>Agregate</t>
  </si>
  <si>
    <t>Wiki</t>
  </si>
  <si>
    <t>Bookmark</t>
  </si>
  <si>
    <t>Profile</t>
  </si>
  <si>
    <t>Citation</t>
  </si>
  <si>
    <t>1000+</t>
  </si>
  <si>
    <t>300+</t>
  </si>
  <si>
    <t>200c</t>
  </si>
  <si>
    <t>100c</t>
  </si>
  <si>
    <t>http://411.ca/submit</t>
  </si>
  <si>
    <t>https://businessweek.directorym.com/submit</t>
  </si>
  <si>
    <t>https://ca.geek-tools.org/submit</t>
  </si>
  <si>
    <t>http://can.ezilon.com/submit</t>
  </si>
  <si>
    <t>https://cdon.info/submit</t>
  </si>
  <si>
    <t>http://cleaning.intently.co/submit</t>
  </si>
  <si>
    <t>https://www.cleaningcompanygortova.blogspot.com/submit</t>
  </si>
  <si>
    <t>https://cleaningjobanokako.blogspot.com/submit</t>
  </si>
  <si>
    <t>http://cleaningjobporongi.blogspot.com/submit</t>
  </si>
  <si>
    <t>https://cleaningjobsgornik.blogspot.com/submit</t>
  </si>
  <si>
    <t>http://cleaningserviceemiwazayo.blogspot.com/submit</t>
  </si>
  <si>
    <t>www.cleaningserviceshobaika.blogspot.com/submit</t>
  </si>
  <si>
    <t>https://cleaningserviceskomarila.blogspot.com/submit</t>
  </si>
  <si>
    <t>http://cleaningservicezapad.blogspot.com/submit</t>
  </si>
  <si>
    <t>https://www.commercialcleaningenindeki.blogspot.com/submit</t>
  </si>
  <si>
    <t>https://commercialcleaningpersiki.blogspot.com/submit</t>
  </si>
  <si>
    <t>https://commercialcleaningserviceskirosora.blogspot.com/submit</t>
  </si>
  <si>
    <t>https://www.commercialconstructionfumihogo.blogspot.com/submit</t>
  </si>
  <si>
    <t>http://companyontop.com/submit</t>
  </si>
  <si>
    <t>www.constructionjobmoinpa.blogspot.com/submit</t>
  </si>
  <si>
    <t>dirpopulus.org/submit</t>
  </si>
  <si>
    <t>firstfollower.com/submit</t>
  </si>
  <si>
    <t>housecleaningbester.blogspot.com/submit</t>
  </si>
  <si>
    <t>iik.nebocom.press/submit</t>
  </si>
  <si>
    <t>listingsca.com/submit</t>
  </si>
  <si>
    <t>mbicorp.ca/submit</t>
  </si>
  <si>
    <t>milanosiamonoi.se/submit</t>
  </si>
  <si>
    <t>nav123.net/submit</t>
  </si>
  <si>
    <t>norgould.com/submit</t>
  </si>
  <si>
    <t>officecleaningekeiwaki.blogspot.com/submit</t>
  </si>
  <si>
    <t>officecleaningpokabako.blogspot.com/submit</t>
  </si>
  <si>
    <t>officecleaningtochka.blogspot.com/submit</t>
  </si>
  <si>
    <t>ottawa.allofcanada.com/submit</t>
  </si>
  <si>
    <t>ottawa.cdncompanies.com/submit</t>
  </si>
  <si>
    <t>ottawa-on.canada-stores.com/submit</t>
  </si>
  <si>
    <t>ottawa-on.canadiancontractorsnearme.com/submit</t>
  </si>
  <si>
    <t>www.cdnpages.ca/submit</t>
  </si>
  <si>
    <t>www.cleanyx.com/submit</t>
  </si>
  <si>
    <t>www.emutop.net/submit</t>
  </si>
  <si>
    <t>www.eqlic.com/submit</t>
  </si>
  <si>
    <t>www.fyple.ca/submit</t>
  </si>
  <si>
    <t>www.hisearch.today/submit</t>
  </si>
  <si>
    <t>www.ic.gc.ca/submit</t>
  </si>
  <si>
    <t>www.nexdu.com/submit</t>
  </si>
  <si>
    <t>www.ottawamove.com/submit</t>
  </si>
  <si>
    <t>www.seekon.com/submit</t>
  </si>
  <si>
    <t>www.sitedownrightnow.com/submit</t>
  </si>
  <si>
    <t>free</t>
  </si>
  <si>
    <t>$300+</t>
  </si>
  <si>
    <t>Lots</t>
  </si>
  <si>
    <t>Company profile</t>
  </si>
  <si>
    <t>Writer profile</t>
  </si>
  <si>
    <t>NA</t>
  </si>
  <si>
    <t>http://411.ca/writer</t>
  </si>
  <si>
    <t>https://businessweek.directorym.com/writer</t>
  </si>
  <si>
    <t>https://ca.geek-tools.org/writer</t>
  </si>
  <si>
    <t>http://can.ezilon.com/writer</t>
  </si>
  <si>
    <t>https://cdon.info/writer</t>
  </si>
  <si>
    <t>http://cleaning.intently.co/writer</t>
  </si>
  <si>
    <t>https://www.cleaningcompanygortova.blogspot.com/writer</t>
  </si>
  <si>
    <t>https://cleaningjobanokako.blogspot.com/writer</t>
  </si>
  <si>
    <t>http://cleaningjobporongi.blogspot.com/writer</t>
  </si>
  <si>
    <t>https://cleaningjobsgornik.blogspot.com/writer</t>
  </si>
  <si>
    <t>http://cleaningserviceemiwazayo.blogspot.com/writer</t>
  </si>
  <si>
    <t>www.cleaningserviceshobaika.blogspot.com/writer</t>
  </si>
  <si>
    <t>https://cleaningserviceskomarila.blogspot.com/writer</t>
  </si>
  <si>
    <t>http://cleaningservicezapad.blogspot.com/writer</t>
  </si>
  <si>
    <t>https://www.commercialcleaningenindeki.blogspot.com/writer</t>
  </si>
  <si>
    <t>https://commercialcleaningpersiki.blogspot.com/writer</t>
  </si>
  <si>
    <t>https://commercialcleaningserviceskirosora.blogspot.com/writer</t>
  </si>
  <si>
    <t>https://www.commercialconstructionfumihogo.blogspot.com/writer</t>
  </si>
  <si>
    <t>http://companyontop.com/writer</t>
  </si>
  <si>
    <t>www.constructionjobmoinpa.blogspot.com/writer</t>
  </si>
  <si>
    <t>dirpopulus.org/writer</t>
  </si>
  <si>
    <t>firstfollower.com/writer</t>
  </si>
  <si>
    <t>housecleaningbester.blogspot.com/writer</t>
  </si>
  <si>
    <t>iik.nebocom.press/writer</t>
  </si>
  <si>
    <t>listingsca.com/writer</t>
  </si>
  <si>
    <t>mbicorp.ca/writer</t>
  </si>
  <si>
    <t>milanosiamonoi.se/writer</t>
  </si>
  <si>
    <t>nav123.net/writer</t>
  </si>
  <si>
    <t>norgould.com/writer</t>
  </si>
  <si>
    <t>officecleaningekeiwaki.blogspot.com/writer</t>
  </si>
  <si>
    <t>officecleaningpokabako.blogspot.com/writer</t>
  </si>
  <si>
    <t>officecleaningtochka.blogspot.com/writer</t>
  </si>
  <si>
    <t>ottawa.allofcanada.com/writer</t>
  </si>
  <si>
    <t>ottawa.cdncompanies.com/writer</t>
  </si>
  <si>
    <t>ottawa-on.canada-stores.com/writer</t>
  </si>
  <si>
    <t>ottawa-on.canadiancontractorsnearme.com/writer</t>
  </si>
  <si>
    <t>www.cdnpages.ca/writer</t>
  </si>
  <si>
    <t>www.cleanyx.com/writer</t>
  </si>
  <si>
    <t>www.emutop.net/writer</t>
  </si>
  <si>
    <t>www.eqlic.com/writer</t>
  </si>
  <si>
    <t>www.fyple.ca/writer</t>
  </si>
  <si>
    <t>www.hisearch.today/writer</t>
  </si>
  <si>
    <t>www.ic.gc.ca/writer</t>
  </si>
  <si>
    <t>www.nexdu.com/writer</t>
  </si>
  <si>
    <t>www.ottawamove.com/writer</t>
  </si>
  <si>
    <t>628 test</t>
  </si>
  <si>
    <t>test 701</t>
  </si>
  <si>
    <t>this is just a string of text</t>
  </si>
  <si>
    <t>628 404, 629, 404</t>
  </si>
  <si>
    <t>Sample</t>
  </si>
  <si>
    <t>Main database A</t>
  </si>
  <si>
    <t>B- New list for match</t>
  </si>
  <si>
    <t>Outcome</t>
  </si>
  <si>
    <t>Inner URL</t>
  </si>
  <si>
    <t>profile</t>
  </si>
  <si>
    <t>MyMatch</t>
  </si>
  <si>
    <t>No Match</t>
  </si>
  <si>
    <t>Match=11</t>
  </si>
  <si>
    <t>Match=0</t>
  </si>
  <si>
    <t>No Match=64</t>
  </si>
  <si>
    <t>No Match=62</t>
  </si>
  <si>
    <t>/submit</t>
  </si>
  <si>
    <t>Copy and Paste in column 'B' and copy and paste the formula upto your data.</t>
  </si>
  <si>
    <t>Instruction to run the VBA Macros Code</t>
  </si>
  <si>
    <t>Please don’t delete or rename the "B New List For Match" &amp; "A Main Database" sheets.</t>
  </si>
  <si>
    <t>Please check your output/result.</t>
  </si>
  <si>
    <t>Please enter your rocords/data.</t>
  </si>
  <si>
    <t>Please click on the above button "Click me to Run VBA Macro Code &amp; see Result"</t>
  </si>
  <si>
    <t>Entry Record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</si>
</sst>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;[Red]\-&quot;$&quot;#,##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59999389629810485"/>
        <bgColor rgb="FFFFFF00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2" borderId="1" xfId="0" applyFont="1" applyFill="1" applyBorder="1"/>
    <xf numFmtId="0" fontId="3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9" fontId="0" fillId="0" borderId="0" xfId="0" applyNumberFormat="1"/>
    <xf numFmtId="164" fontId="0" fillId="0" borderId="0" xfId="0" applyNumberFormat="1"/>
    <xf numFmtId="0" fontId="4" fillId="0" borderId="0" xfId="0" applyFont="1"/>
    <xf numFmtId="0" fontId="1" fillId="0" borderId="0" xfId="0" applyFont="1"/>
    <xf numFmtId="0" fontId="0" fillId="4" borderId="0" xfId="0" applyFill="1"/>
    <xf numFmtId="0" fontId="2" fillId="5" borderId="1" xfId="0" applyFont="1" applyFill="1" applyBorder="1"/>
    <xf numFmtId="0" fontId="0" fillId="0" borderId="0" xfId="0" applyFill="1"/>
    <xf numFmtId="9" fontId="0" fillId="0" borderId="0" xfId="0" applyNumberFormat="1" applyFill="1"/>
    <xf numFmtId="0" fontId="4" fillId="0" borderId="0" xfId="0" applyFon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</xdr:row>
      <xdr:rowOff>9526</xdr:rowOff>
    </xdr:from>
    <xdr:to>
      <xdr:col>8</xdr:col>
      <xdr:colOff>581025</xdr:colOff>
      <xdr:row>3</xdr:row>
      <xdr:rowOff>19050</xdr:rowOff>
    </xdr:to>
    <xdr:sp macro="[0]!lookupFromMainDB" textlink="">
      <xdr:nvSpPr>
        <xdr:cNvPr id="2" name="Rounded Rectangle 1"/>
        <xdr:cNvSpPr/>
      </xdr:nvSpPr>
      <xdr:spPr>
        <a:xfrm>
          <a:off x="1228725" y="200026"/>
          <a:ext cx="4229100" cy="3905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       Click me to Run VBA Macro Code &amp;</a:t>
          </a:r>
          <a:r>
            <a:rPr lang="en-US" sz="1400" b="1" baseline="0"/>
            <a:t> see Result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A77"/>
  <sheetViews>
    <sheetView workbookViewId="0">
      <pane xSplit="2" ySplit="4" topLeftCell="AA5" activePane="bottomRight" state="frozen"/>
      <selection pane="topRight" activeCell="B1" sqref="B1"/>
      <selection pane="bottomLeft" activeCell="A5" sqref="A5"/>
      <selection pane="bottomRight" activeCell="A2" sqref="A2"/>
    </sheetView>
  </sheetViews>
  <sheetFormatPr defaultRowHeight="15" x14ac:dyDescent="0.25"/>
  <cols>
    <col min="1" max="1" width="64.42578125" bestFit="1" customWidth="1"/>
    <col min="2" max="2" width="57.140625" bestFit="1" customWidth="1"/>
    <col min="3" max="3" width="16.5703125" bestFit="1" customWidth="1"/>
    <col min="4" max="5" width="7.85546875" customWidth="1"/>
    <col min="6" max="6" width="7" customWidth="1"/>
    <col min="7" max="7" width="13.85546875" bestFit="1" customWidth="1"/>
    <col min="8" max="8" width="13.7109375" bestFit="1" customWidth="1"/>
    <col min="9" max="9" width="13.42578125" bestFit="1" customWidth="1"/>
    <col min="10" max="10" width="10" bestFit="1" customWidth="1"/>
    <col min="11" max="11" width="12.140625" bestFit="1" customWidth="1"/>
    <col min="12" max="12" width="15.42578125" bestFit="1" customWidth="1"/>
    <col min="13" max="13" width="13.28515625" bestFit="1" customWidth="1"/>
    <col min="14" max="14" width="64.42578125" bestFit="1" customWidth="1"/>
    <col min="15" max="15" width="6" bestFit="1" customWidth="1"/>
    <col min="16" max="16" width="14.42578125" bestFit="1" customWidth="1"/>
    <col min="17" max="17" width="63.7109375" bestFit="1" customWidth="1"/>
    <col min="18" max="18" width="23.42578125" bestFit="1" customWidth="1"/>
    <col min="19" max="19" width="46.85546875" bestFit="1" customWidth="1"/>
    <col min="21" max="21" width="35.5703125" bestFit="1" customWidth="1"/>
    <col min="22" max="22" width="12.42578125" bestFit="1" customWidth="1"/>
    <col min="23" max="23" width="15.85546875" bestFit="1" customWidth="1"/>
    <col min="24" max="24" width="12.42578125" bestFit="1" customWidth="1"/>
    <col min="25" max="25" width="9.42578125" bestFit="1" customWidth="1"/>
    <col min="26" max="26" width="8" bestFit="1" customWidth="1"/>
    <col min="27" max="27" width="64.42578125" bestFit="1" customWidth="1"/>
  </cols>
  <sheetData>
    <row r="1" spans="1:27" x14ac:dyDescent="0.25">
      <c r="A1" t="s">
        <v>293</v>
      </c>
    </row>
    <row r="2" spans="1:27" x14ac:dyDescent="0.25">
      <c r="U2" t="s">
        <v>288</v>
      </c>
      <c r="V2" t="s">
        <v>289</v>
      </c>
      <c r="W2" t="s">
        <v>289</v>
      </c>
      <c r="X2" t="s">
        <v>289</v>
      </c>
    </row>
    <row r="3" spans="1:27" x14ac:dyDescent="0.25">
      <c r="B3" t="s">
        <v>282</v>
      </c>
      <c r="U3" t="s">
        <v>291</v>
      </c>
      <c r="V3" t="s">
        <v>290</v>
      </c>
      <c r="W3" t="s">
        <v>290</v>
      </c>
      <c r="X3" t="s">
        <v>290</v>
      </c>
    </row>
    <row r="4" spans="1:27" x14ac:dyDescent="0.25">
      <c r="A4" t="str">
        <f>AA4</f>
        <v>Domain URL</v>
      </c>
      <c r="B4" s="2" t="s">
        <v>3</v>
      </c>
      <c r="C4" s="1" t="s">
        <v>4</v>
      </c>
      <c r="D4" s="1" t="s">
        <v>5</v>
      </c>
      <c r="E4" s="1" t="s">
        <v>6</v>
      </c>
      <c r="F4" s="1" t="s">
        <v>2</v>
      </c>
      <c r="G4" s="1" t="s">
        <v>7</v>
      </c>
      <c r="H4" s="1" t="s">
        <v>8</v>
      </c>
      <c r="I4" s="1" t="s">
        <v>9</v>
      </c>
      <c r="J4" s="9" t="s">
        <v>284</v>
      </c>
      <c r="K4" s="1" t="s">
        <v>10</v>
      </c>
      <c r="L4" s="1" t="s">
        <v>11</v>
      </c>
      <c r="M4" s="1" t="s">
        <v>12</v>
      </c>
      <c r="N4" s="2" t="s">
        <v>13</v>
      </c>
      <c r="O4" s="2" t="s">
        <v>14</v>
      </c>
      <c r="P4" s="3" t="s">
        <v>15</v>
      </c>
      <c r="Q4" s="1" t="s">
        <v>16</v>
      </c>
      <c r="R4" s="1" t="s">
        <v>17</v>
      </c>
      <c r="S4" s="1" t="s">
        <v>280</v>
      </c>
      <c r="U4" s="2" t="s">
        <v>3</v>
      </c>
      <c r="V4" s="9" t="s">
        <v>284</v>
      </c>
      <c r="W4" s="2" t="s">
        <v>13</v>
      </c>
      <c r="X4" s="1" t="s">
        <v>16</v>
      </c>
      <c r="Y4" s="1" t="s">
        <v>286</v>
      </c>
      <c r="Z4" s="2" t="s">
        <v>292</v>
      </c>
      <c r="AA4" s="2" t="s">
        <v>3</v>
      </c>
    </row>
    <row r="5" spans="1:27" x14ac:dyDescent="0.25">
      <c r="A5" t="str">
        <f t="shared" ref="A5:A68" si="0">AA5</f>
        <v>http://411.ca/submit</v>
      </c>
      <c r="B5" t="s">
        <v>108</v>
      </c>
      <c r="C5" s="4" t="e">
        <f>VLOOKUP($A5,'A Main Database'!$A:$R,3,0)</f>
        <v>#N/A</v>
      </c>
      <c r="D5" t="e">
        <f>VLOOKUP($A5,'A Main Database'!$A:$R,4,0)</f>
        <v>#N/A</v>
      </c>
      <c r="E5" t="e">
        <f>VLOOKUP($A5,'A Main Database'!$A:$R,5,0)</f>
        <v>#N/A</v>
      </c>
      <c r="F5" t="e">
        <f>VLOOKUP($A5,'A Main Database'!$A:$R,6,0)</f>
        <v>#N/A</v>
      </c>
      <c r="G5" t="e">
        <f>VLOOKUP($A5,'A Main Database'!$A:$R,7,0)</f>
        <v>#N/A</v>
      </c>
      <c r="H5" t="e">
        <f>VLOOKUP($A5,'A Main Database'!$A:$R,8,0)</f>
        <v>#N/A</v>
      </c>
      <c r="I5" t="e">
        <f>VLOOKUP($A5,'A Main Database'!$A:$R,9,0)</f>
        <v>#N/A</v>
      </c>
      <c r="J5" t="e">
        <f>VLOOKUP($A5,'A Main Database'!$A:$R,10,0)</f>
        <v>#N/A</v>
      </c>
      <c r="K5" t="e">
        <f>VLOOKUP($A5,'A Main Database'!$A:$R,11,0)</f>
        <v>#N/A</v>
      </c>
      <c r="L5" t="e">
        <f>VLOOKUP($A5,'A Main Database'!$A:$R,12,0)</f>
        <v>#N/A</v>
      </c>
      <c r="M5" t="e">
        <f>VLOOKUP($A5,'A Main Database'!$A:$R,13,0)</f>
        <v>#N/A</v>
      </c>
      <c r="N5" t="e">
        <f>VLOOKUP($A5,'A Main Database'!$A:$R,14,0)</f>
        <v>#N/A</v>
      </c>
      <c r="O5" t="e">
        <f>VLOOKUP($A5,'A Main Database'!$A:$R,15,0)</f>
        <v>#N/A</v>
      </c>
      <c r="P5" s="6" t="e">
        <f>VLOOKUP($A5,'A Main Database'!$A:$R,16,0)</f>
        <v>#N/A</v>
      </c>
      <c r="Q5" t="e">
        <f>VLOOKUP($A5,'A Main Database'!$A:$R,17,0)</f>
        <v>#N/A</v>
      </c>
      <c r="R5" t="e">
        <f>VLOOKUP($A5,'A Main Database'!$A:$R,18,0)</f>
        <v>#N/A</v>
      </c>
      <c r="S5" t="e">
        <f>VLOOKUP($A5,'A Main Database'!$A:$R,19,0)</f>
        <v>#N/A</v>
      </c>
      <c r="U5" t="e">
        <f>VLOOKUP(B5,'A Main Database'!A:A,1,0)</f>
        <v>#N/A</v>
      </c>
      <c r="V5" t="e">
        <f>VLOOKUP(B5,'A Main Database'!I:I,1,0)</f>
        <v>#N/A</v>
      </c>
      <c r="W5" t="e">
        <f>VLOOKUP(B5,'A Main Database'!M:M,1,0)</f>
        <v>#N/A</v>
      </c>
      <c r="X5" t="e">
        <f>VLOOKUP(B5,'A Main Database'!P:P,1,0)</f>
        <v>#N/A</v>
      </c>
      <c r="Y5" t="s">
        <v>287</v>
      </c>
      <c r="Z5" t="s">
        <v>292</v>
      </c>
      <c r="AA5" t="str">
        <f>CONCATENATE(B5,Z5)</f>
        <v>http://411.ca/submit</v>
      </c>
    </row>
    <row r="6" spans="1:27" x14ac:dyDescent="0.25">
      <c r="A6" t="str">
        <f t="shared" si="0"/>
        <v>https://businessweek.directorym.com/submit</v>
      </c>
      <c r="B6" t="s">
        <v>109</v>
      </c>
      <c r="C6" s="4" t="e">
        <f>VLOOKUP($A6,'A Main Database'!$A:$R,3,0)</f>
        <v>#N/A</v>
      </c>
      <c r="D6" t="e">
        <f>VLOOKUP($A6,'A Main Database'!$A:$R,4,0)</f>
        <v>#N/A</v>
      </c>
      <c r="E6" t="e">
        <f>VLOOKUP($A6,'A Main Database'!$A:$R,5,0)</f>
        <v>#N/A</v>
      </c>
      <c r="F6" t="e">
        <f>VLOOKUP($A6,'A Main Database'!$A:$R,6,0)</f>
        <v>#N/A</v>
      </c>
      <c r="G6" t="e">
        <f>VLOOKUP($A6,'A Main Database'!$A:$R,7,0)</f>
        <v>#N/A</v>
      </c>
      <c r="H6" t="e">
        <f>VLOOKUP($A6,'A Main Database'!$A:$R,8,0)</f>
        <v>#N/A</v>
      </c>
      <c r="I6" t="e">
        <f>VLOOKUP($A6,'A Main Database'!$A:$R,9,0)</f>
        <v>#N/A</v>
      </c>
      <c r="J6" t="e">
        <f>VLOOKUP($A6,'A Main Database'!$A:$R,10,0)</f>
        <v>#N/A</v>
      </c>
      <c r="K6" t="e">
        <f>VLOOKUP($A6,'A Main Database'!$A:$R,11,0)</f>
        <v>#N/A</v>
      </c>
      <c r="L6" t="e">
        <f>VLOOKUP($A6,'A Main Database'!$A:$R,12,0)</f>
        <v>#N/A</v>
      </c>
      <c r="M6" t="e">
        <f>VLOOKUP($A6,'A Main Database'!$A:$R,13,0)</f>
        <v>#N/A</v>
      </c>
      <c r="N6" t="e">
        <f>VLOOKUP($A6,'A Main Database'!$A:$R,14,0)</f>
        <v>#N/A</v>
      </c>
      <c r="O6" t="e">
        <f>VLOOKUP($A6,'A Main Database'!$A:$R,15,0)</f>
        <v>#N/A</v>
      </c>
      <c r="P6" s="6" t="e">
        <f>VLOOKUP($A6,'A Main Database'!$A:$R,16,0)</f>
        <v>#N/A</v>
      </c>
      <c r="Q6" t="e">
        <f>VLOOKUP($A6,'A Main Database'!$A:$R,17,0)</f>
        <v>#N/A</v>
      </c>
      <c r="R6" t="e">
        <f>VLOOKUP($A6,'A Main Database'!$A:$R,18,0)</f>
        <v>#N/A</v>
      </c>
      <c r="S6" t="e">
        <f>VLOOKUP($A6,'A Main Database'!$A:$R,19,0)</f>
        <v>#N/A</v>
      </c>
      <c r="U6" t="e">
        <f>VLOOKUP(B6,'A Main Database'!A:A,1,0)</f>
        <v>#N/A</v>
      </c>
      <c r="V6" t="e">
        <f>VLOOKUP(B6,'A Main Database'!I:I,1,0)</f>
        <v>#N/A</v>
      </c>
      <c r="W6" t="e">
        <f>VLOOKUP(B6,'A Main Database'!M:M,1,0)</f>
        <v>#N/A</v>
      </c>
      <c r="X6" t="e">
        <f>VLOOKUP(B6,'A Main Database'!P:P,1,0)</f>
        <v>#N/A</v>
      </c>
      <c r="Y6" t="s">
        <v>287</v>
      </c>
      <c r="Z6" t="s">
        <v>292</v>
      </c>
      <c r="AA6" t="str">
        <f t="shared" ref="AA6:AA69" si="1">CONCATENATE(B6,Z6)</f>
        <v>https://businessweek.directorym.com/submit</v>
      </c>
    </row>
    <row r="7" spans="1:27" x14ac:dyDescent="0.25">
      <c r="A7" t="str">
        <f t="shared" si="0"/>
        <v>https://ca.geek-tools.org/submit</v>
      </c>
      <c r="B7" t="s">
        <v>110</v>
      </c>
      <c r="C7" s="4" t="e">
        <f>VLOOKUP($A7,'A Main Database'!$A:$R,3,0)</f>
        <v>#N/A</v>
      </c>
      <c r="D7" t="e">
        <f>VLOOKUP($A7,'A Main Database'!$A:$R,4,0)</f>
        <v>#N/A</v>
      </c>
      <c r="E7" t="e">
        <f>VLOOKUP($A7,'A Main Database'!$A:$R,5,0)</f>
        <v>#N/A</v>
      </c>
      <c r="F7" t="e">
        <f>VLOOKUP($A7,'A Main Database'!$A:$R,6,0)</f>
        <v>#N/A</v>
      </c>
      <c r="G7" t="e">
        <f>VLOOKUP($A7,'A Main Database'!$A:$R,7,0)</f>
        <v>#N/A</v>
      </c>
      <c r="H7" t="e">
        <f>VLOOKUP($A7,'A Main Database'!$A:$R,8,0)</f>
        <v>#N/A</v>
      </c>
      <c r="I7" t="e">
        <f>VLOOKUP($A7,'A Main Database'!$A:$R,9,0)</f>
        <v>#N/A</v>
      </c>
      <c r="J7" t="e">
        <f>VLOOKUP($A7,'A Main Database'!$A:$R,10,0)</f>
        <v>#N/A</v>
      </c>
      <c r="K7" t="e">
        <f>VLOOKUP($A7,'A Main Database'!$A:$R,11,0)</f>
        <v>#N/A</v>
      </c>
      <c r="L7" t="e">
        <f>VLOOKUP($A7,'A Main Database'!$A:$R,12,0)</f>
        <v>#N/A</v>
      </c>
      <c r="M7" t="e">
        <f>VLOOKUP($A7,'A Main Database'!$A:$R,13,0)</f>
        <v>#N/A</v>
      </c>
      <c r="N7" t="e">
        <f>VLOOKUP($A7,'A Main Database'!$A:$R,14,0)</f>
        <v>#N/A</v>
      </c>
      <c r="O7" t="e">
        <f>VLOOKUP($A7,'A Main Database'!$A:$R,15,0)</f>
        <v>#N/A</v>
      </c>
      <c r="P7" s="6" t="e">
        <f>VLOOKUP($A7,'A Main Database'!$A:$R,16,0)</f>
        <v>#N/A</v>
      </c>
      <c r="Q7" t="e">
        <f>VLOOKUP($A7,'A Main Database'!$A:$R,17,0)</f>
        <v>#N/A</v>
      </c>
      <c r="R7" t="e">
        <f>VLOOKUP($A7,'A Main Database'!$A:$R,18,0)</f>
        <v>#N/A</v>
      </c>
      <c r="S7" t="e">
        <f>VLOOKUP($A7,'A Main Database'!$A:$R,19,0)</f>
        <v>#N/A</v>
      </c>
      <c r="U7" t="e">
        <f>VLOOKUP(B7,'A Main Database'!A:A,1,0)</f>
        <v>#N/A</v>
      </c>
      <c r="V7" t="e">
        <f>VLOOKUP(B7,'A Main Database'!I:I,1,0)</f>
        <v>#N/A</v>
      </c>
      <c r="W7" t="e">
        <f>VLOOKUP(B7,'A Main Database'!M:M,1,0)</f>
        <v>#N/A</v>
      </c>
      <c r="X7" t="e">
        <f>VLOOKUP(B7,'A Main Database'!P:P,1,0)</f>
        <v>#N/A</v>
      </c>
      <c r="Y7" t="s">
        <v>287</v>
      </c>
      <c r="Z7" t="s">
        <v>292</v>
      </c>
      <c r="AA7" t="str">
        <f t="shared" si="1"/>
        <v>https://ca.geek-tools.org/submit</v>
      </c>
    </row>
    <row r="8" spans="1:27" x14ac:dyDescent="0.25">
      <c r="A8" t="str">
        <f t="shared" si="0"/>
        <v>http://can.ezilon.com/submit</v>
      </c>
      <c r="B8" t="s">
        <v>111</v>
      </c>
      <c r="C8" s="4" t="e">
        <f>VLOOKUP($A8,'A Main Database'!$A:$R,3,0)</f>
        <v>#N/A</v>
      </c>
      <c r="D8" t="e">
        <f>VLOOKUP($A8,'A Main Database'!$A:$R,4,0)</f>
        <v>#N/A</v>
      </c>
      <c r="E8" t="e">
        <f>VLOOKUP($A8,'A Main Database'!$A:$R,5,0)</f>
        <v>#N/A</v>
      </c>
      <c r="F8" t="e">
        <f>VLOOKUP($A8,'A Main Database'!$A:$R,6,0)</f>
        <v>#N/A</v>
      </c>
      <c r="G8" t="e">
        <f>VLOOKUP($A8,'A Main Database'!$A:$R,7,0)</f>
        <v>#N/A</v>
      </c>
      <c r="H8" t="e">
        <f>VLOOKUP($A8,'A Main Database'!$A:$R,8,0)</f>
        <v>#N/A</v>
      </c>
      <c r="I8" t="e">
        <f>VLOOKUP($A8,'A Main Database'!$A:$R,9,0)</f>
        <v>#N/A</v>
      </c>
      <c r="J8" t="e">
        <f>VLOOKUP($A8,'A Main Database'!$A:$R,10,0)</f>
        <v>#N/A</v>
      </c>
      <c r="K8" t="e">
        <f>VLOOKUP($A8,'A Main Database'!$A:$R,11,0)</f>
        <v>#N/A</v>
      </c>
      <c r="L8" t="e">
        <f>VLOOKUP($A8,'A Main Database'!$A:$R,12,0)</f>
        <v>#N/A</v>
      </c>
      <c r="M8" t="e">
        <f>VLOOKUP($A8,'A Main Database'!$A:$R,13,0)</f>
        <v>#N/A</v>
      </c>
      <c r="N8" t="e">
        <f>VLOOKUP($A8,'A Main Database'!$A:$R,14,0)</f>
        <v>#N/A</v>
      </c>
      <c r="O8" t="e">
        <f>VLOOKUP($A8,'A Main Database'!$A:$R,15,0)</f>
        <v>#N/A</v>
      </c>
      <c r="P8" s="6" t="e">
        <f>VLOOKUP($A8,'A Main Database'!$A:$R,16,0)</f>
        <v>#N/A</v>
      </c>
      <c r="Q8" t="e">
        <f>VLOOKUP($A8,'A Main Database'!$A:$R,17,0)</f>
        <v>#N/A</v>
      </c>
      <c r="R8" t="e">
        <f>VLOOKUP($A8,'A Main Database'!$A:$R,18,0)</f>
        <v>#N/A</v>
      </c>
      <c r="S8" t="e">
        <f>VLOOKUP($A8,'A Main Database'!$A:$R,19,0)</f>
        <v>#N/A</v>
      </c>
      <c r="U8" t="e">
        <f>VLOOKUP(B8,'A Main Database'!A:A,1,0)</f>
        <v>#N/A</v>
      </c>
      <c r="V8" t="e">
        <f>VLOOKUP(B8,'A Main Database'!I:I,1,0)</f>
        <v>#N/A</v>
      </c>
      <c r="W8" t="e">
        <f>VLOOKUP(B8,'A Main Database'!M:M,1,0)</f>
        <v>#N/A</v>
      </c>
      <c r="X8" t="e">
        <f>VLOOKUP(B8,'A Main Database'!P:P,1,0)</f>
        <v>#N/A</v>
      </c>
      <c r="Y8" t="s">
        <v>287</v>
      </c>
      <c r="Z8" t="s">
        <v>292</v>
      </c>
      <c r="AA8" t="str">
        <f t="shared" si="1"/>
        <v>http://can.ezilon.com/submit</v>
      </c>
    </row>
    <row r="9" spans="1:27" x14ac:dyDescent="0.25">
      <c r="A9" t="str">
        <f t="shared" si="0"/>
        <v>https://cdon.info/submit</v>
      </c>
      <c r="B9" t="s">
        <v>112</v>
      </c>
      <c r="C9" s="4" t="e">
        <f>VLOOKUP($A9,'A Main Database'!$A:$R,3,0)</f>
        <v>#N/A</v>
      </c>
      <c r="D9" t="e">
        <f>VLOOKUP($A9,'A Main Database'!$A:$R,4,0)</f>
        <v>#N/A</v>
      </c>
      <c r="E9" t="e">
        <f>VLOOKUP($A9,'A Main Database'!$A:$R,5,0)</f>
        <v>#N/A</v>
      </c>
      <c r="F9" t="e">
        <f>VLOOKUP($A9,'A Main Database'!$A:$R,6,0)</f>
        <v>#N/A</v>
      </c>
      <c r="G9" t="e">
        <f>VLOOKUP($A9,'A Main Database'!$A:$R,7,0)</f>
        <v>#N/A</v>
      </c>
      <c r="H9" t="e">
        <f>VLOOKUP($A9,'A Main Database'!$A:$R,8,0)</f>
        <v>#N/A</v>
      </c>
      <c r="I9" t="e">
        <f>VLOOKUP($A9,'A Main Database'!$A:$R,9,0)</f>
        <v>#N/A</v>
      </c>
      <c r="J9" t="e">
        <f>VLOOKUP($A9,'A Main Database'!$A:$R,10,0)</f>
        <v>#N/A</v>
      </c>
      <c r="K9" t="e">
        <f>VLOOKUP($A9,'A Main Database'!$A:$R,11,0)</f>
        <v>#N/A</v>
      </c>
      <c r="L9" t="e">
        <f>VLOOKUP($A9,'A Main Database'!$A:$R,12,0)</f>
        <v>#N/A</v>
      </c>
      <c r="M9" t="e">
        <f>VLOOKUP($A9,'A Main Database'!$A:$R,13,0)</f>
        <v>#N/A</v>
      </c>
      <c r="N9" t="e">
        <f>VLOOKUP($A9,'A Main Database'!$A:$R,14,0)</f>
        <v>#N/A</v>
      </c>
      <c r="O9" t="e">
        <f>VLOOKUP($A9,'A Main Database'!$A:$R,15,0)</f>
        <v>#N/A</v>
      </c>
      <c r="P9" s="6" t="e">
        <f>VLOOKUP($A9,'A Main Database'!$A:$R,16,0)</f>
        <v>#N/A</v>
      </c>
      <c r="Q9" t="e">
        <f>VLOOKUP($A9,'A Main Database'!$A:$R,17,0)</f>
        <v>#N/A</v>
      </c>
      <c r="R9" t="e">
        <f>VLOOKUP($A9,'A Main Database'!$A:$R,18,0)</f>
        <v>#N/A</v>
      </c>
      <c r="S9" t="e">
        <f>VLOOKUP($A9,'A Main Database'!$A:$R,19,0)</f>
        <v>#N/A</v>
      </c>
      <c r="U9" t="e">
        <f>VLOOKUP(B9,'A Main Database'!A:A,1,0)</f>
        <v>#N/A</v>
      </c>
      <c r="V9" t="e">
        <f>VLOOKUP(B9,'A Main Database'!I:I,1,0)</f>
        <v>#N/A</v>
      </c>
      <c r="W9" t="e">
        <f>VLOOKUP(B9,'A Main Database'!M:M,1,0)</f>
        <v>#N/A</v>
      </c>
      <c r="X9" t="e">
        <f>VLOOKUP(B9,'A Main Database'!P:P,1,0)</f>
        <v>#N/A</v>
      </c>
      <c r="Y9" t="s">
        <v>287</v>
      </c>
      <c r="Z9" t="s">
        <v>292</v>
      </c>
      <c r="AA9" t="str">
        <f t="shared" si="1"/>
        <v>https://cdon.info/submit</v>
      </c>
    </row>
    <row r="10" spans="1:27" x14ac:dyDescent="0.25">
      <c r="A10" t="str">
        <f t="shared" si="0"/>
        <v>http://cleaning.intently.co/submit</v>
      </c>
      <c r="B10" t="s">
        <v>113</v>
      </c>
      <c r="C10" s="4" t="e">
        <f>VLOOKUP($A10,'A Main Database'!$A:$R,3,0)</f>
        <v>#N/A</v>
      </c>
      <c r="D10" t="e">
        <f>VLOOKUP($A10,'A Main Database'!$A:$R,4,0)</f>
        <v>#N/A</v>
      </c>
      <c r="E10" t="e">
        <f>VLOOKUP($A10,'A Main Database'!$A:$R,5,0)</f>
        <v>#N/A</v>
      </c>
      <c r="F10" t="e">
        <f>VLOOKUP($A10,'A Main Database'!$A:$R,6,0)</f>
        <v>#N/A</v>
      </c>
      <c r="G10" t="e">
        <f>VLOOKUP($A10,'A Main Database'!$A:$R,7,0)</f>
        <v>#N/A</v>
      </c>
      <c r="H10" t="e">
        <f>VLOOKUP($A10,'A Main Database'!$A:$R,8,0)</f>
        <v>#N/A</v>
      </c>
      <c r="I10" t="e">
        <f>VLOOKUP($A10,'A Main Database'!$A:$R,9,0)</f>
        <v>#N/A</v>
      </c>
      <c r="J10" t="e">
        <f>VLOOKUP($A10,'A Main Database'!$A:$R,10,0)</f>
        <v>#N/A</v>
      </c>
      <c r="K10" t="e">
        <f>VLOOKUP($A10,'A Main Database'!$A:$R,11,0)</f>
        <v>#N/A</v>
      </c>
      <c r="L10" t="e">
        <f>VLOOKUP($A10,'A Main Database'!$A:$R,12,0)</f>
        <v>#N/A</v>
      </c>
      <c r="M10" t="e">
        <f>VLOOKUP($A10,'A Main Database'!$A:$R,13,0)</f>
        <v>#N/A</v>
      </c>
      <c r="N10" t="e">
        <f>VLOOKUP($A10,'A Main Database'!$A:$R,14,0)</f>
        <v>#N/A</v>
      </c>
      <c r="O10" t="e">
        <f>VLOOKUP($A10,'A Main Database'!$A:$R,15,0)</f>
        <v>#N/A</v>
      </c>
      <c r="P10" s="6" t="e">
        <f>VLOOKUP($A10,'A Main Database'!$A:$R,16,0)</f>
        <v>#N/A</v>
      </c>
      <c r="Q10" t="e">
        <f>VLOOKUP($A10,'A Main Database'!$A:$R,17,0)</f>
        <v>#N/A</v>
      </c>
      <c r="R10" t="e">
        <f>VLOOKUP($A10,'A Main Database'!$A:$R,18,0)</f>
        <v>#N/A</v>
      </c>
      <c r="S10" t="e">
        <f>VLOOKUP($A10,'A Main Database'!$A:$R,19,0)</f>
        <v>#N/A</v>
      </c>
      <c r="U10" t="e">
        <f>VLOOKUP(B10,'A Main Database'!A:A,1,0)</f>
        <v>#N/A</v>
      </c>
      <c r="V10" t="e">
        <f>VLOOKUP(B10,'A Main Database'!I:I,1,0)</f>
        <v>#N/A</v>
      </c>
      <c r="W10" t="e">
        <f>VLOOKUP(B10,'A Main Database'!M:M,1,0)</f>
        <v>#N/A</v>
      </c>
      <c r="X10" t="e">
        <f>VLOOKUP(B10,'A Main Database'!P:P,1,0)</f>
        <v>#N/A</v>
      </c>
      <c r="Y10" t="s">
        <v>287</v>
      </c>
      <c r="Z10" t="s">
        <v>292</v>
      </c>
      <c r="AA10" t="str">
        <f t="shared" si="1"/>
        <v>http://cleaning.intently.co/submit</v>
      </c>
    </row>
    <row r="11" spans="1:27" x14ac:dyDescent="0.25">
      <c r="A11" t="str">
        <f t="shared" si="0"/>
        <v>https://www.cleaningcompanygortova.blogspot.com/submit</v>
      </c>
      <c r="B11" t="s">
        <v>114</v>
      </c>
      <c r="C11" s="4" t="e">
        <f>VLOOKUP($A11,'A Main Database'!$A:$R,3,0)</f>
        <v>#N/A</v>
      </c>
      <c r="D11" t="e">
        <f>VLOOKUP($A11,'A Main Database'!$A:$R,4,0)</f>
        <v>#N/A</v>
      </c>
      <c r="E11" t="e">
        <f>VLOOKUP($A11,'A Main Database'!$A:$R,5,0)</f>
        <v>#N/A</v>
      </c>
      <c r="F11" t="e">
        <f>VLOOKUP($A11,'A Main Database'!$A:$R,6,0)</f>
        <v>#N/A</v>
      </c>
      <c r="G11" t="e">
        <f>VLOOKUP($A11,'A Main Database'!$A:$R,7,0)</f>
        <v>#N/A</v>
      </c>
      <c r="H11" t="e">
        <f>VLOOKUP($A11,'A Main Database'!$A:$R,8,0)</f>
        <v>#N/A</v>
      </c>
      <c r="I11" t="e">
        <f>VLOOKUP($A11,'A Main Database'!$A:$R,9,0)</f>
        <v>#N/A</v>
      </c>
      <c r="J11" t="e">
        <f>VLOOKUP($A11,'A Main Database'!$A:$R,10,0)</f>
        <v>#N/A</v>
      </c>
      <c r="K11" t="e">
        <f>VLOOKUP($A11,'A Main Database'!$A:$R,11,0)</f>
        <v>#N/A</v>
      </c>
      <c r="L11" t="e">
        <f>VLOOKUP($A11,'A Main Database'!$A:$R,12,0)</f>
        <v>#N/A</v>
      </c>
      <c r="M11" t="e">
        <f>VLOOKUP($A11,'A Main Database'!$A:$R,13,0)</f>
        <v>#N/A</v>
      </c>
      <c r="N11" t="e">
        <f>VLOOKUP($A11,'A Main Database'!$A:$R,14,0)</f>
        <v>#N/A</v>
      </c>
      <c r="O11" t="e">
        <f>VLOOKUP($A11,'A Main Database'!$A:$R,15,0)</f>
        <v>#N/A</v>
      </c>
      <c r="P11" s="6" t="e">
        <f>VLOOKUP($A11,'A Main Database'!$A:$R,16,0)</f>
        <v>#N/A</v>
      </c>
      <c r="Q11" t="e">
        <f>VLOOKUP($A11,'A Main Database'!$A:$R,17,0)</f>
        <v>#N/A</v>
      </c>
      <c r="R11" t="e">
        <f>VLOOKUP($A11,'A Main Database'!$A:$R,18,0)</f>
        <v>#N/A</v>
      </c>
      <c r="S11" t="e">
        <f>VLOOKUP($A11,'A Main Database'!$A:$R,19,0)</f>
        <v>#N/A</v>
      </c>
      <c r="U11" t="e">
        <f>VLOOKUP(B11,'A Main Database'!A:A,1,0)</f>
        <v>#N/A</v>
      </c>
      <c r="V11" t="e">
        <f>VLOOKUP(B11,'A Main Database'!I:I,1,0)</f>
        <v>#N/A</v>
      </c>
      <c r="W11" t="e">
        <f>VLOOKUP(B11,'A Main Database'!M:M,1,0)</f>
        <v>#N/A</v>
      </c>
      <c r="X11" t="e">
        <f>VLOOKUP(B11,'A Main Database'!P:P,1,0)</f>
        <v>#N/A</v>
      </c>
      <c r="Y11" t="s">
        <v>287</v>
      </c>
      <c r="Z11" t="s">
        <v>292</v>
      </c>
      <c r="AA11" t="str">
        <f t="shared" si="1"/>
        <v>https://www.cleaningcompanygortova.blogspot.com/submit</v>
      </c>
    </row>
    <row r="12" spans="1:27" x14ac:dyDescent="0.25">
      <c r="A12" t="str">
        <f t="shared" si="0"/>
        <v>https://cleaningjobanokako.blogspot.com/submit</v>
      </c>
      <c r="B12" t="s">
        <v>115</v>
      </c>
      <c r="C12" s="4" t="e">
        <f>VLOOKUP($A12,'A Main Database'!$A:$R,3,0)</f>
        <v>#N/A</v>
      </c>
      <c r="D12" t="e">
        <f>VLOOKUP($A12,'A Main Database'!$A:$R,4,0)</f>
        <v>#N/A</v>
      </c>
      <c r="E12" t="e">
        <f>VLOOKUP($A12,'A Main Database'!$A:$R,5,0)</f>
        <v>#N/A</v>
      </c>
      <c r="F12" t="e">
        <f>VLOOKUP($A12,'A Main Database'!$A:$R,6,0)</f>
        <v>#N/A</v>
      </c>
      <c r="G12" t="e">
        <f>VLOOKUP($A12,'A Main Database'!$A:$R,7,0)</f>
        <v>#N/A</v>
      </c>
      <c r="H12" t="e">
        <f>VLOOKUP($A12,'A Main Database'!$A:$R,8,0)</f>
        <v>#N/A</v>
      </c>
      <c r="I12" t="e">
        <f>VLOOKUP($A12,'A Main Database'!$A:$R,9,0)</f>
        <v>#N/A</v>
      </c>
      <c r="J12" t="e">
        <f>VLOOKUP($A12,'A Main Database'!$A:$R,10,0)</f>
        <v>#N/A</v>
      </c>
      <c r="K12" t="e">
        <f>VLOOKUP($A12,'A Main Database'!$A:$R,11,0)</f>
        <v>#N/A</v>
      </c>
      <c r="L12" t="e">
        <f>VLOOKUP($A12,'A Main Database'!$A:$R,12,0)</f>
        <v>#N/A</v>
      </c>
      <c r="M12" t="e">
        <f>VLOOKUP($A12,'A Main Database'!$A:$R,13,0)</f>
        <v>#N/A</v>
      </c>
      <c r="N12" t="e">
        <f>VLOOKUP($A12,'A Main Database'!$A:$R,14,0)</f>
        <v>#N/A</v>
      </c>
      <c r="O12" t="e">
        <f>VLOOKUP($A12,'A Main Database'!$A:$R,15,0)</f>
        <v>#N/A</v>
      </c>
      <c r="P12" s="6" t="e">
        <f>VLOOKUP($A12,'A Main Database'!$A:$R,16,0)</f>
        <v>#N/A</v>
      </c>
      <c r="Q12" t="e">
        <f>VLOOKUP($A12,'A Main Database'!$A:$R,17,0)</f>
        <v>#N/A</v>
      </c>
      <c r="R12" t="e">
        <f>VLOOKUP($A12,'A Main Database'!$A:$R,18,0)</f>
        <v>#N/A</v>
      </c>
      <c r="S12" t="e">
        <f>VLOOKUP($A12,'A Main Database'!$A:$R,19,0)</f>
        <v>#N/A</v>
      </c>
      <c r="U12" t="e">
        <f>VLOOKUP(B12,'A Main Database'!A:A,1,0)</f>
        <v>#N/A</v>
      </c>
      <c r="V12" t="e">
        <f>VLOOKUP(B12,'A Main Database'!I:I,1,0)</f>
        <v>#N/A</v>
      </c>
      <c r="W12" t="e">
        <f>VLOOKUP(B12,'A Main Database'!M:M,1,0)</f>
        <v>#N/A</v>
      </c>
      <c r="X12" t="e">
        <f>VLOOKUP(B12,'A Main Database'!P:P,1,0)</f>
        <v>#N/A</v>
      </c>
      <c r="Y12" t="s">
        <v>287</v>
      </c>
      <c r="Z12" t="s">
        <v>292</v>
      </c>
      <c r="AA12" t="str">
        <f t="shared" si="1"/>
        <v>https://cleaningjobanokako.blogspot.com/submit</v>
      </c>
    </row>
    <row r="13" spans="1:27" x14ac:dyDescent="0.25">
      <c r="A13" t="str">
        <f t="shared" si="0"/>
        <v>http://cleaningjobporongi.blogspot.com/submit</v>
      </c>
      <c r="B13" t="s">
        <v>116</v>
      </c>
      <c r="C13" s="4" t="e">
        <f>VLOOKUP($A13,'A Main Database'!$A:$R,3,0)</f>
        <v>#N/A</v>
      </c>
      <c r="D13" t="e">
        <f>VLOOKUP($A13,'A Main Database'!$A:$R,4,0)</f>
        <v>#N/A</v>
      </c>
      <c r="E13" t="e">
        <f>VLOOKUP($A13,'A Main Database'!$A:$R,5,0)</f>
        <v>#N/A</v>
      </c>
      <c r="F13" t="e">
        <f>VLOOKUP($A13,'A Main Database'!$A:$R,6,0)</f>
        <v>#N/A</v>
      </c>
      <c r="G13" t="e">
        <f>VLOOKUP($A13,'A Main Database'!$A:$R,7,0)</f>
        <v>#N/A</v>
      </c>
      <c r="H13" t="e">
        <f>VLOOKUP($A13,'A Main Database'!$A:$R,8,0)</f>
        <v>#N/A</v>
      </c>
      <c r="I13" t="e">
        <f>VLOOKUP($A13,'A Main Database'!$A:$R,9,0)</f>
        <v>#N/A</v>
      </c>
      <c r="J13" t="e">
        <f>VLOOKUP($A13,'A Main Database'!$A:$R,10,0)</f>
        <v>#N/A</v>
      </c>
      <c r="K13" t="e">
        <f>VLOOKUP($A13,'A Main Database'!$A:$R,11,0)</f>
        <v>#N/A</v>
      </c>
      <c r="L13" t="e">
        <f>VLOOKUP($A13,'A Main Database'!$A:$R,12,0)</f>
        <v>#N/A</v>
      </c>
      <c r="M13" t="e">
        <f>VLOOKUP($A13,'A Main Database'!$A:$R,13,0)</f>
        <v>#N/A</v>
      </c>
      <c r="N13" t="e">
        <f>VLOOKUP($A13,'A Main Database'!$A:$R,14,0)</f>
        <v>#N/A</v>
      </c>
      <c r="O13" t="e">
        <f>VLOOKUP($A13,'A Main Database'!$A:$R,15,0)</f>
        <v>#N/A</v>
      </c>
      <c r="P13" s="6" t="e">
        <f>VLOOKUP($A13,'A Main Database'!$A:$R,16,0)</f>
        <v>#N/A</v>
      </c>
      <c r="Q13" t="e">
        <f>VLOOKUP($A13,'A Main Database'!$A:$R,17,0)</f>
        <v>#N/A</v>
      </c>
      <c r="R13" t="e">
        <f>VLOOKUP($A13,'A Main Database'!$A:$R,18,0)</f>
        <v>#N/A</v>
      </c>
      <c r="S13" t="e">
        <f>VLOOKUP($A13,'A Main Database'!$A:$R,19,0)</f>
        <v>#N/A</v>
      </c>
      <c r="U13" t="e">
        <f>VLOOKUP(B13,'A Main Database'!A:A,1,0)</f>
        <v>#N/A</v>
      </c>
      <c r="V13" t="e">
        <f>VLOOKUP(B13,'A Main Database'!I:I,1,0)</f>
        <v>#N/A</v>
      </c>
      <c r="W13" t="e">
        <f>VLOOKUP(B13,'A Main Database'!M:M,1,0)</f>
        <v>#N/A</v>
      </c>
      <c r="X13" t="e">
        <f>VLOOKUP(B13,'A Main Database'!P:P,1,0)</f>
        <v>#N/A</v>
      </c>
      <c r="Y13" t="s">
        <v>287</v>
      </c>
      <c r="Z13" t="s">
        <v>292</v>
      </c>
      <c r="AA13" t="str">
        <f t="shared" si="1"/>
        <v>http://cleaningjobporongi.blogspot.com/submit</v>
      </c>
    </row>
    <row r="14" spans="1:27" x14ac:dyDescent="0.25">
      <c r="A14" t="str">
        <f t="shared" si="0"/>
        <v>https://cleaningjobsgornik.blogspot.com/submit</v>
      </c>
      <c r="B14" t="s">
        <v>117</v>
      </c>
      <c r="C14" s="4" t="e">
        <f>VLOOKUP($A14,'A Main Database'!$A:$R,3,0)</f>
        <v>#N/A</v>
      </c>
      <c r="D14" t="e">
        <f>VLOOKUP($A14,'A Main Database'!$A:$R,4,0)</f>
        <v>#N/A</v>
      </c>
      <c r="E14" t="e">
        <f>VLOOKUP($A14,'A Main Database'!$A:$R,5,0)</f>
        <v>#N/A</v>
      </c>
      <c r="F14" t="e">
        <f>VLOOKUP($A14,'A Main Database'!$A:$R,6,0)</f>
        <v>#N/A</v>
      </c>
      <c r="G14" t="e">
        <f>VLOOKUP($A14,'A Main Database'!$A:$R,7,0)</f>
        <v>#N/A</v>
      </c>
      <c r="H14" t="e">
        <f>VLOOKUP($A14,'A Main Database'!$A:$R,8,0)</f>
        <v>#N/A</v>
      </c>
      <c r="I14" t="e">
        <f>VLOOKUP($A14,'A Main Database'!$A:$R,9,0)</f>
        <v>#N/A</v>
      </c>
      <c r="J14" t="e">
        <f>VLOOKUP($A14,'A Main Database'!$A:$R,10,0)</f>
        <v>#N/A</v>
      </c>
      <c r="K14" t="e">
        <f>VLOOKUP($A14,'A Main Database'!$A:$R,11,0)</f>
        <v>#N/A</v>
      </c>
      <c r="L14" t="e">
        <f>VLOOKUP($A14,'A Main Database'!$A:$R,12,0)</f>
        <v>#N/A</v>
      </c>
      <c r="M14" t="e">
        <f>VLOOKUP($A14,'A Main Database'!$A:$R,13,0)</f>
        <v>#N/A</v>
      </c>
      <c r="N14" t="e">
        <f>VLOOKUP($A14,'A Main Database'!$A:$R,14,0)</f>
        <v>#N/A</v>
      </c>
      <c r="O14" t="e">
        <f>VLOOKUP($A14,'A Main Database'!$A:$R,15,0)</f>
        <v>#N/A</v>
      </c>
      <c r="P14" s="6" t="e">
        <f>VLOOKUP($A14,'A Main Database'!$A:$R,16,0)</f>
        <v>#N/A</v>
      </c>
      <c r="Q14" t="e">
        <f>VLOOKUP($A14,'A Main Database'!$A:$R,17,0)</f>
        <v>#N/A</v>
      </c>
      <c r="R14" t="e">
        <f>VLOOKUP($A14,'A Main Database'!$A:$R,18,0)</f>
        <v>#N/A</v>
      </c>
      <c r="S14" t="e">
        <f>VLOOKUP($A14,'A Main Database'!$A:$R,19,0)</f>
        <v>#N/A</v>
      </c>
      <c r="U14" t="e">
        <f>VLOOKUP(B14,'A Main Database'!A:A,1,0)</f>
        <v>#N/A</v>
      </c>
      <c r="V14" t="e">
        <f>VLOOKUP(B14,'A Main Database'!I:I,1,0)</f>
        <v>#N/A</v>
      </c>
      <c r="W14" t="e">
        <f>VLOOKUP(B14,'A Main Database'!M:M,1,0)</f>
        <v>#N/A</v>
      </c>
      <c r="X14" t="e">
        <f>VLOOKUP(B14,'A Main Database'!P:P,1,0)</f>
        <v>#N/A</v>
      </c>
      <c r="Y14" t="s">
        <v>287</v>
      </c>
      <c r="Z14" t="s">
        <v>292</v>
      </c>
      <c r="AA14" t="str">
        <f t="shared" si="1"/>
        <v>https://cleaningjobsgornik.blogspot.com/submit</v>
      </c>
    </row>
    <row r="15" spans="1:27" x14ac:dyDescent="0.25">
      <c r="A15" t="str">
        <f t="shared" si="0"/>
        <v>http://cleaningserviceemiwazayo.blogspot.com/submit</v>
      </c>
      <c r="B15" t="s">
        <v>118</v>
      </c>
      <c r="C15" s="4" t="e">
        <f>VLOOKUP($A15,'A Main Database'!$A:$R,3,0)</f>
        <v>#N/A</v>
      </c>
      <c r="D15" t="e">
        <f>VLOOKUP($A15,'A Main Database'!$A:$R,4,0)</f>
        <v>#N/A</v>
      </c>
      <c r="E15" t="e">
        <f>VLOOKUP($A15,'A Main Database'!$A:$R,5,0)</f>
        <v>#N/A</v>
      </c>
      <c r="F15" t="e">
        <f>VLOOKUP($A15,'A Main Database'!$A:$R,6,0)</f>
        <v>#N/A</v>
      </c>
      <c r="G15" t="e">
        <f>VLOOKUP($A15,'A Main Database'!$A:$R,7,0)</f>
        <v>#N/A</v>
      </c>
      <c r="H15" t="e">
        <f>VLOOKUP($A15,'A Main Database'!$A:$R,8,0)</f>
        <v>#N/A</v>
      </c>
      <c r="I15" t="e">
        <f>VLOOKUP($A15,'A Main Database'!$A:$R,9,0)</f>
        <v>#N/A</v>
      </c>
      <c r="J15" t="e">
        <f>VLOOKUP($A15,'A Main Database'!$A:$R,10,0)</f>
        <v>#N/A</v>
      </c>
      <c r="K15" t="e">
        <f>VLOOKUP($A15,'A Main Database'!$A:$R,11,0)</f>
        <v>#N/A</v>
      </c>
      <c r="L15" t="e">
        <f>VLOOKUP($A15,'A Main Database'!$A:$R,12,0)</f>
        <v>#N/A</v>
      </c>
      <c r="M15" t="e">
        <f>VLOOKUP($A15,'A Main Database'!$A:$R,13,0)</f>
        <v>#N/A</v>
      </c>
      <c r="N15" t="e">
        <f>VLOOKUP($A15,'A Main Database'!$A:$R,14,0)</f>
        <v>#N/A</v>
      </c>
      <c r="O15" t="e">
        <f>VLOOKUP($A15,'A Main Database'!$A:$R,15,0)</f>
        <v>#N/A</v>
      </c>
      <c r="P15" s="6" t="e">
        <f>VLOOKUP($A15,'A Main Database'!$A:$R,16,0)</f>
        <v>#N/A</v>
      </c>
      <c r="Q15" t="e">
        <f>VLOOKUP($A15,'A Main Database'!$A:$R,17,0)</f>
        <v>#N/A</v>
      </c>
      <c r="R15" t="e">
        <f>VLOOKUP($A15,'A Main Database'!$A:$R,18,0)</f>
        <v>#N/A</v>
      </c>
      <c r="S15" t="e">
        <f>VLOOKUP($A15,'A Main Database'!$A:$R,19,0)</f>
        <v>#N/A</v>
      </c>
      <c r="U15" t="e">
        <f>VLOOKUP(B15,'A Main Database'!A:A,1,0)</f>
        <v>#N/A</v>
      </c>
      <c r="V15" t="e">
        <f>VLOOKUP(B15,'A Main Database'!I:I,1,0)</f>
        <v>#N/A</v>
      </c>
      <c r="W15" t="e">
        <f>VLOOKUP(B15,'A Main Database'!M:M,1,0)</f>
        <v>#N/A</v>
      </c>
      <c r="X15" t="e">
        <f>VLOOKUP(B15,'A Main Database'!P:P,1,0)</f>
        <v>#N/A</v>
      </c>
      <c r="Y15" t="s">
        <v>287</v>
      </c>
      <c r="Z15" t="s">
        <v>292</v>
      </c>
      <c r="AA15" t="str">
        <f t="shared" si="1"/>
        <v>http://cleaningserviceemiwazayo.blogspot.com/submit</v>
      </c>
    </row>
    <row r="16" spans="1:27" x14ac:dyDescent="0.25">
      <c r="A16" t="str">
        <f t="shared" si="0"/>
        <v>www.cleaningserviceshobaika.blogspot.com/submit</v>
      </c>
      <c r="B16" t="s">
        <v>119</v>
      </c>
      <c r="C16" s="4" t="e">
        <f>VLOOKUP($A16,'A Main Database'!$A:$R,3,0)</f>
        <v>#N/A</v>
      </c>
      <c r="D16" t="e">
        <f>VLOOKUP($A16,'A Main Database'!$A:$R,4,0)</f>
        <v>#N/A</v>
      </c>
      <c r="E16" t="e">
        <f>VLOOKUP($A16,'A Main Database'!$A:$R,5,0)</f>
        <v>#N/A</v>
      </c>
      <c r="F16" t="e">
        <f>VLOOKUP($A16,'A Main Database'!$A:$R,6,0)</f>
        <v>#N/A</v>
      </c>
      <c r="G16" t="e">
        <f>VLOOKUP($A16,'A Main Database'!$A:$R,7,0)</f>
        <v>#N/A</v>
      </c>
      <c r="H16" t="e">
        <f>VLOOKUP($A16,'A Main Database'!$A:$R,8,0)</f>
        <v>#N/A</v>
      </c>
      <c r="I16" t="e">
        <f>VLOOKUP($A16,'A Main Database'!$A:$R,9,0)</f>
        <v>#N/A</v>
      </c>
      <c r="J16" t="e">
        <f>VLOOKUP($A16,'A Main Database'!$A:$R,10,0)</f>
        <v>#N/A</v>
      </c>
      <c r="K16" t="e">
        <f>VLOOKUP($A16,'A Main Database'!$A:$R,11,0)</f>
        <v>#N/A</v>
      </c>
      <c r="L16" t="e">
        <f>VLOOKUP($A16,'A Main Database'!$A:$R,12,0)</f>
        <v>#N/A</v>
      </c>
      <c r="M16" t="e">
        <f>VLOOKUP($A16,'A Main Database'!$A:$R,13,0)</f>
        <v>#N/A</v>
      </c>
      <c r="N16" t="e">
        <f>VLOOKUP($A16,'A Main Database'!$A:$R,14,0)</f>
        <v>#N/A</v>
      </c>
      <c r="O16" t="e">
        <f>VLOOKUP($A16,'A Main Database'!$A:$R,15,0)</f>
        <v>#N/A</v>
      </c>
      <c r="P16" s="6" t="e">
        <f>VLOOKUP($A16,'A Main Database'!$A:$R,16,0)</f>
        <v>#N/A</v>
      </c>
      <c r="Q16" t="e">
        <f>VLOOKUP($A16,'A Main Database'!$A:$R,17,0)</f>
        <v>#N/A</v>
      </c>
      <c r="R16" t="e">
        <f>VLOOKUP($A16,'A Main Database'!$A:$R,18,0)</f>
        <v>#N/A</v>
      </c>
      <c r="S16" t="e">
        <f>VLOOKUP($A16,'A Main Database'!$A:$R,19,0)</f>
        <v>#N/A</v>
      </c>
      <c r="U16" t="e">
        <f>VLOOKUP(B16,'A Main Database'!A:A,1,0)</f>
        <v>#N/A</v>
      </c>
      <c r="V16" t="e">
        <f>VLOOKUP(B16,'A Main Database'!I:I,1,0)</f>
        <v>#N/A</v>
      </c>
      <c r="W16" t="e">
        <f>VLOOKUP(B16,'A Main Database'!M:M,1,0)</f>
        <v>#N/A</v>
      </c>
      <c r="X16" t="e">
        <f>VLOOKUP(B16,'A Main Database'!P:P,1,0)</f>
        <v>#N/A</v>
      </c>
      <c r="Y16" t="s">
        <v>287</v>
      </c>
      <c r="Z16" t="s">
        <v>292</v>
      </c>
      <c r="AA16" t="str">
        <f t="shared" si="1"/>
        <v>www.cleaningserviceshobaika.blogspot.com/submit</v>
      </c>
    </row>
    <row r="17" spans="1:27" x14ac:dyDescent="0.25">
      <c r="A17" t="str">
        <f t="shared" si="0"/>
        <v>https://cleaningserviceskomarila.blogspot.com/submit</v>
      </c>
      <c r="B17" t="s">
        <v>120</v>
      </c>
      <c r="C17" s="4" t="e">
        <f>VLOOKUP($A17,'A Main Database'!$A:$R,3,0)</f>
        <v>#N/A</v>
      </c>
      <c r="D17" t="e">
        <f>VLOOKUP($A17,'A Main Database'!$A:$R,4,0)</f>
        <v>#N/A</v>
      </c>
      <c r="E17" t="e">
        <f>VLOOKUP($A17,'A Main Database'!$A:$R,5,0)</f>
        <v>#N/A</v>
      </c>
      <c r="F17" t="e">
        <f>VLOOKUP($A17,'A Main Database'!$A:$R,6,0)</f>
        <v>#N/A</v>
      </c>
      <c r="G17" t="e">
        <f>VLOOKUP($A17,'A Main Database'!$A:$R,7,0)</f>
        <v>#N/A</v>
      </c>
      <c r="H17" t="e">
        <f>VLOOKUP($A17,'A Main Database'!$A:$R,8,0)</f>
        <v>#N/A</v>
      </c>
      <c r="I17" t="e">
        <f>VLOOKUP($A17,'A Main Database'!$A:$R,9,0)</f>
        <v>#N/A</v>
      </c>
      <c r="J17" t="e">
        <f>VLOOKUP($A17,'A Main Database'!$A:$R,10,0)</f>
        <v>#N/A</v>
      </c>
      <c r="K17" t="e">
        <f>VLOOKUP($A17,'A Main Database'!$A:$R,11,0)</f>
        <v>#N/A</v>
      </c>
      <c r="L17" t="e">
        <f>VLOOKUP($A17,'A Main Database'!$A:$R,12,0)</f>
        <v>#N/A</v>
      </c>
      <c r="M17" t="e">
        <f>VLOOKUP($A17,'A Main Database'!$A:$R,13,0)</f>
        <v>#N/A</v>
      </c>
      <c r="N17" t="e">
        <f>VLOOKUP($A17,'A Main Database'!$A:$R,14,0)</f>
        <v>#N/A</v>
      </c>
      <c r="O17" t="e">
        <f>VLOOKUP($A17,'A Main Database'!$A:$R,15,0)</f>
        <v>#N/A</v>
      </c>
      <c r="P17" s="6" t="e">
        <f>VLOOKUP($A17,'A Main Database'!$A:$R,16,0)</f>
        <v>#N/A</v>
      </c>
      <c r="Q17" t="e">
        <f>VLOOKUP($A17,'A Main Database'!$A:$R,17,0)</f>
        <v>#N/A</v>
      </c>
      <c r="R17" t="e">
        <f>VLOOKUP($A17,'A Main Database'!$A:$R,18,0)</f>
        <v>#N/A</v>
      </c>
      <c r="S17" t="e">
        <f>VLOOKUP($A17,'A Main Database'!$A:$R,19,0)</f>
        <v>#N/A</v>
      </c>
      <c r="U17" t="e">
        <f>VLOOKUP(B17,'A Main Database'!A:A,1,0)</f>
        <v>#N/A</v>
      </c>
      <c r="V17" t="e">
        <f>VLOOKUP(B17,'A Main Database'!I:I,1,0)</f>
        <v>#N/A</v>
      </c>
      <c r="W17" t="e">
        <f>VLOOKUP(B17,'A Main Database'!M:M,1,0)</f>
        <v>#N/A</v>
      </c>
      <c r="X17" t="e">
        <f>VLOOKUP(B17,'A Main Database'!P:P,1,0)</f>
        <v>#N/A</v>
      </c>
      <c r="Y17" t="s">
        <v>287</v>
      </c>
      <c r="Z17" t="s">
        <v>292</v>
      </c>
      <c r="AA17" t="str">
        <f t="shared" si="1"/>
        <v>https://cleaningserviceskomarila.blogspot.com/submit</v>
      </c>
    </row>
    <row r="18" spans="1:27" x14ac:dyDescent="0.25">
      <c r="A18" t="str">
        <f t="shared" si="0"/>
        <v>http://cleaningservicezapad.blogspot.com/submit</v>
      </c>
      <c r="B18" t="s">
        <v>121</v>
      </c>
      <c r="C18" s="4" t="e">
        <f>VLOOKUP($A18,'A Main Database'!$A:$R,3,0)</f>
        <v>#N/A</v>
      </c>
      <c r="D18" t="e">
        <f>VLOOKUP($A18,'A Main Database'!$A:$R,4,0)</f>
        <v>#N/A</v>
      </c>
      <c r="E18" t="e">
        <f>VLOOKUP($A18,'A Main Database'!$A:$R,5,0)</f>
        <v>#N/A</v>
      </c>
      <c r="F18" t="e">
        <f>VLOOKUP($A18,'A Main Database'!$A:$R,6,0)</f>
        <v>#N/A</v>
      </c>
      <c r="G18" t="e">
        <f>VLOOKUP($A18,'A Main Database'!$A:$R,7,0)</f>
        <v>#N/A</v>
      </c>
      <c r="H18" t="e">
        <f>VLOOKUP($A18,'A Main Database'!$A:$R,8,0)</f>
        <v>#N/A</v>
      </c>
      <c r="I18" t="e">
        <f>VLOOKUP($A18,'A Main Database'!$A:$R,9,0)</f>
        <v>#N/A</v>
      </c>
      <c r="J18" t="e">
        <f>VLOOKUP($A18,'A Main Database'!$A:$R,10,0)</f>
        <v>#N/A</v>
      </c>
      <c r="K18" t="e">
        <f>VLOOKUP($A18,'A Main Database'!$A:$R,11,0)</f>
        <v>#N/A</v>
      </c>
      <c r="L18" t="e">
        <f>VLOOKUP($A18,'A Main Database'!$A:$R,12,0)</f>
        <v>#N/A</v>
      </c>
      <c r="M18" t="e">
        <f>VLOOKUP($A18,'A Main Database'!$A:$R,13,0)</f>
        <v>#N/A</v>
      </c>
      <c r="N18" t="e">
        <f>VLOOKUP($A18,'A Main Database'!$A:$R,14,0)</f>
        <v>#N/A</v>
      </c>
      <c r="O18" t="e">
        <f>VLOOKUP($A18,'A Main Database'!$A:$R,15,0)</f>
        <v>#N/A</v>
      </c>
      <c r="P18" s="6" t="e">
        <f>VLOOKUP($A18,'A Main Database'!$A:$R,16,0)</f>
        <v>#N/A</v>
      </c>
      <c r="Q18" t="e">
        <f>VLOOKUP($A18,'A Main Database'!$A:$R,17,0)</f>
        <v>#N/A</v>
      </c>
      <c r="R18" t="e">
        <f>VLOOKUP($A18,'A Main Database'!$A:$R,18,0)</f>
        <v>#N/A</v>
      </c>
      <c r="S18" t="e">
        <f>VLOOKUP($A18,'A Main Database'!$A:$R,19,0)</f>
        <v>#N/A</v>
      </c>
      <c r="U18" t="e">
        <f>VLOOKUP(B18,'A Main Database'!A:A,1,0)</f>
        <v>#N/A</v>
      </c>
      <c r="V18" t="e">
        <f>VLOOKUP(B18,'A Main Database'!I:I,1,0)</f>
        <v>#N/A</v>
      </c>
      <c r="W18" t="e">
        <f>VLOOKUP(B18,'A Main Database'!M:M,1,0)</f>
        <v>#N/A</v>
      </c>
      <c r="X18" t="e">
        <f>VLOOKUP(B18,'A Main Database'!P:P,1,0)</f>
        <v>#N/A</v>
      </c>
      <c r="Y18" t="s">
        <v>287</v>
      </c>
      <c r="Z18" t="s">
        <v>292</v>
      </c>
      <c r="AA18" t="str">
        <f t="shared" si="1"/>
        <v>http://cleaningservicezapad.blogspot.com/submit</v>
      </c>
    </row>
    <row r="19" spans="1:27" x14ac:dyDescent="0.25">
      <c r="A19" t="str">
        <f t="shared" si="0"/>
        <v>https://www.commercialcleaningenindeki.blogspot.com/submit</v>
      </c>
      <c r="B19" t="s">
        <v>122</v>
      </c>
      <c r="C19" s="4" t="e">
        <f>VLOOKUP($A19,'A Main Database'!$A:$R,3,0)</f>
        <v>#N/A</v>
      </c>
      <c r="D19" t="e">
        <f>VLOOKUP($A19,'A Main Database'!$A:$R,4,0)</f>
        <v>#N/A</v>
      </c>
      <c r="E19" t="e">
        <f>VLOOKUP($A19,'A Main Database'!$A:$R,5,0)</f>
        <v>#N/A</v>
      </c>
      <c r="F19" t="e">
        <f>VLOOKUP($A19,'A Main Database'!$A:$R,6,0)</f>
        <v>#N/A</v>
      </c>
      <c r="G19" t="e">
        <f>VLOOKUP($A19,'A Main Database'!$A:$R,7,0)</f>
        <v>#N/A</v>
      </c>
      <c r="H19" t="e">
        <f>VLOOKUP($A19,'A Main Database'!$A:$R,8,0)</f>
        <v>#N/A</v>
      </c>
      <c r="I19" t="e">
        <f>VLOOKUP($A19,'A Main Database'!$A:$R,9,0)</f>
        <v>#N/A</v>
      </c>
      <c r="J19" t="e">
        <f>VLOOKUP($A19,'A Main Database'!$A:$R,10,0)</f>
        <v>#N/A</v>
      </c>
      <c r="K19" t="e">
        <f>VLOOKUP($A19,'A Main Database'!$A:$R,11,0)</f>
        <v>#N/A</v>
      </c>
      <c r="L19" t="e">
        <f>VLOOKUP($A19,'A Main Database'!$A:$R,12,0)</f>
        <v>#N/A</v>
      </c>
      <c r="M19" t="e">
        <f>VLOOKUP($A19,'A Main Database'!$A:$R,13,0)</f>
        <v>#N/A</v>
      </c>
      <c r="N19" t="e">
        <f>VLOOKUP($A19,'A Main Database'!$A:$R,14,0)</f>
        <v>#N/A</v>
      </c>
      <c r="O19" t="e">
        <f>VLOOKUP($A19,'A Main Database'!$A:$R,15,0)</f>
        <v>#N/A</v>
      </c>
      <c r="P19" s="6" t="e">
        <f>VLOOKUP($A19,'A Main Database'!$A:$R,16,0)</f>
        <v>#N/A</v>
      </c>
      <c r="Q19" t="e">
        <f>VLOOKUP($A19,'A Main Database'!$A:$R,17,0)</f>
        <v>#N/A</v>
      </c>
      <c r="R19" t="e">
        <f>VLOOKUP($A19,'A Main Database'!$A:$R,18,0)</f>
        <v>#N/A</v>
      </c>
      <c r="S19" t="e">
        <f>VLOOKUP($A19,'A Main Database'!$A:$R,19,0)</f>
        <v>#N/A</v>
      </c>
      <c r="U19" t="e">
        <f>VLOOKUP(B19,'A Main Database'!A:A,1,0)</f>
        <v>#N/A</v>
      </c>
      <c r="V19" t="e">
        <f>VLOOKUP(B19,'A Main Database'!I:I,1,0)</f>
        <v>#N/A</v>
      </c>
      <c r="W19" t="e">
        <f>VLOOKUP(B19,'A Main Database'!M:M,1,0)</f>
        <v>#N/A</v>
      </c>
      <c r="X19" t="e">
        <f>VLOOKUP(B19,'A Main Database'!P:P,1,0)</f>
        <v>#N/A</v>
      </c>
      <c r="Y19" t="s">
        <v>287</v>
      </c>
      <c r="Z19" t="s">
        <v>292</v>
      </c>
      <c r="AA19" t="str">
        <f t="shared" si="1"/>
        <v>https://www.commercialcleaningenindeki.blogspot.com/submit</v>
      </c>
    </row>
    <row r="20" spans="1:27" x14ac:dyDescent="0.25">
      <c r="A20" t="str">
        <f t="shared" si="0"/>
        <v>https://commercialcleaningpersiki.blogspot.com/submit</v>
      </c>
      <c r="B20" t="s">
        <v>123</v>
      </c>
      <c r="C20" s="4" t="e">
        <f>VLOOKUP($A20,'A Main Database'!$A:$R,3,0)</f>
        <v>#N/A</v>
      </c>
      <c r="D20" t="e">
        <f>VLOOKUP($A20,'A Main Database'!$A:$R,4,0)</f>
        <v>#N/A</v>
      </c>
      <c r="E20" t="e">
        <f>VLOOKUP($A20,'A Main Database'!$A:$R,5,0)</f>
        <v>#N/A</v>
      </c>
      <c r="F20" t="e">
        <f>VLOOKUP($A20,'A Main Database'!$A:$R,6,0)</f>
        <v>#N/A</v>
      </c>
      <c r="G20" t="e">
        <f>VLOOKUP($A20,'A Main Database'!$A:$R,7,0)</f>
        <v>#N/A</v>
      </c>
      <c r="H20" t="e">
        <f>VLOOKUP($A20,'A Main Database'!$A:$R,8,0)</f>
        <v>#N/A</v>
      </c>
      <c r="I20" t="e">
        <f>VLOOKUP($A20,'A Main Database'!$A:$R,9,0)</f>
        <v>#N/A</v>
      </c>
      <c r="J20" t="e">
        <f>VLOOKUP($A20,'A Main Database'!$A:$R,10,0)</f>
        <v>#N/A</v>
      </c>
      <c r="K20" t="e">
        <f>VLOOKUP($A20,'A Main Database'!$A:$R,11,0)</f>
        <v>#N/A</v>
      </c>
      <c r="L20" t="e">
        <f>VLOOKUP($A20,'A Main Database'!$A:$R,12,0)</f>
        <v>#N/A</v>
      </c>
      <c r="M20" t="e">
        <f>VLOOKUP($A20,'A Main Database'!$A:$R,13,0)</f>
        <v>#N/A</v>
      </c>
      <c r="N20" t="e">
        <f>VLOOKUP($A20,'A Main Database'!$A:$R,14,0)</f>
        <v>#N/A</v>
      </c>
      <c r="O20" t="e">
        <f>VLOOKUP($A20,'A Main Database'!$A:$R,15,0)</f>
        <v>#N/A</v>
      </c>
      <c r="P20" s="6" t="e">
        <f>VLOOKUP($A20,'A Main Database'!$A:$R,16,0)</f>
        <v>#N/A</v>
      </c>
      <c r="Q20" t="e">
        <f>VLOOKUP($A20,'A Main Database'!$A:$R,17,0)</f>
        <v>#N/A</v>
      </c>
      <c r="R20" t="e">
        <f>VLOOKUP($A20,'A Main Database'!$A:$R,18,0)</f>
        <v>#N/A</v>
      </c>
      <c r="S20" t="e">
        <f>VLOOKUP($A20,'A Main Database'!$A:$R,19,0)</f>
        <v>#N/A</v>
      </c>
      <c r="U20" t="e">
        <f>VLOOKUP(B20,'A Main Database'!A:A,1,0)</f>
        <v>#N/A</v>
      </c>
      <c r="V20" t="e">
        <f>VLOOKUP(B20,'A Main Database'!I:I,1,0)</f>
        <v>#N/A</v>
      </c>
      <c r="W20" t="e">
        <f>VLOOKUP(B20,'A Main Database'!M:M,1,0)</f>
        <v>#N/A</v>
      </c>
      <c r="X20" t="e">
        <f>VLOOKUP(B20,'A Main Database'!P:P,1,0)</f>
        <v>#N/A</v>
      </c>
      <c r="Y20" t="s">
        <v>287</v>
      </c>
      <c r="Z20" t="s">
        <v>292</v>
      </c>
      <c r="AA20" t="str">
        <f t="shared" si="1"/>
        <v>https://commercialcleaningpersiki.blogspot.com/submit</v>
      </c>
    </row>
    <row r="21" spans="1:27" x14ac:dyDescent="0.25">
      <c r="A21" t="str">
        <f t="shared" si="0"/>
        <v>https://commercialcleaningserviceskirosora.blogspot.com/submit</v>
      </c>
      <c r="B21" t="s">
        <v>124</v>
      </c>
      <c r="C21" s="4" t="e">
        <f>VLOOKUP($A21,'A Main Database'!$A:$R,3,0)</f>
        <v>#N/A</v>
      </c>
      <c r="D21" t="e">
        <f>VLOOKUP($A21,'A Main Database'!$A:$R,4,0)</f>
        <v>#N/A</v>
      </c>
      <c r="E21" t="e">
        <f>VLOOKUP($A21,'A Main Database'!$A:$R,5,0)</f>
        <v>#N/A</v>
      </c>
      <c r="F21" t="e">
        <f>VLOOKUP($A21,'A Main Database'!$A:$R,6,0)</f>
        <v>#N/A</v>
      </c>
      <c r="G21" t="e">
        <f>VLOOKUP($A21,'A Main Database'!$A:$R,7,0)</f>
        <v>#N/A</v>
      </c>
      <c r="H21" t="e">
        <f>VLOOKUP($A21,'A Main Database'!$A:$R,8,0)</f>
        <v>#N/A</v>
      </c>
      <c r="I21" t="e">
        <f>VLOOKUP($A21,'A Main Database'!$A:$R,9,0)</f>
        <v>#N/A</v>
      </c>
      <c r="J21" t="e">
        <f>VLOOKUP($A21,'A Main Database'!$A:$R,10,0)</f>
        <v>#N/A</v>
      </c>
      <c r="K21" t="e">
        <f>VLOOKUP($A21,'A Main Database'!$A:$R,11,0)</f>
        <v>#N/A</v>
      </c>
      <c r="L21" t="e">
        <f>VLOOKUP($A21,'A Main Database'!$A:$R,12,0)</f>
        <v>#N/A</v>
      </c>
      <c r="M21" t="e">
        <f>VLOOKUP($A21,'A Main Database'!$A:$R,13,0)</f>
        <v>#N/A</v>
      </c>
      <c r="N21" t="e">
        <f>VLOOKUP($A21,'A Main Database'!$A:$R,14,0)</f>
        <v>#N/A</v>
      </c>
      <c r="O21" t="e">
        <f>VLOOKUP($A21,'A Main Database'!$A:$R,15,0)</f>
        <v>#N/A</v>
      </c>
      <c r="P21" s="6" t="e">
        <f>VLOOKUP($A21,'A Main Database'!$A:$R,16,0)</f>
        <v>#N/A</v>
      </c>
      <c r="Q21" t="e">
        <f>VLOOKUP($A21,'A Main Database'!$A:$R,17,0)</f>
        <v>#N/A</v>
      </c>
      <c r="R21" t="e">
        <f>VLOOKUP($A21,'A Main Database'!$A:$R,18,0)</f>
        <v>#N/A</v>
      </c>
      <c r="S21" t="e">
        <f>VLOOKUP($A21,'A Main Database'!$A:$R,19,0)</f>
        <v>#N/A</v>
      </c>
      <c r="U21" t="e">
        <f>VLOOKUP(B21,'A Main Database'!A:A,1,0)</f>
        <v>#N/A</v>
      </c>
      <c r="V21" t="e">
        <f>VLOOKUP(B21,'A Main Database'!I:I,1,0)</f>
        <v>#N/A</v>
      </c>
      <c r="W21" t="e">
        <f>VLOOKUP(B21,'A Main Database'!M:M,1,0)</f>
        <v>#N/A</v>
      </c>
      <c r="X21" t="e">
        <f>VLOOKUP(B21,'A Main Database'!P:P,1,0)</f>
        <v>#N/A</v>
      </c>
      <c r="Y21" t="s">
        <v>287</v>
      </c>
      <c r="Z21" t="s">
        <v>292</v>
      </c>
      <c r="AA21" t="str">
        <f t="shared" si="1"/>
        <v>https://commercialcleaningserviceskirosora.blogspot.com/submit</v>
      </c>
    </row>
    <row r="22" spans="1:27" x14ac:dyDescent="0.25">
      <c r="A22" t="str">
        <f t="shared" si="0"/>
        <v>https://www.commercialconstructionfumihogo.blogspot.com/submit</v>
      </c>
      <c r="B22" t="s">
        <v>125</v>
      </c>
      <c r="C22" s="4" t="e">
        <f>VLOOKUP($A22,'A Main Database'!$A:$R,3,0)</f>
        <v>#N/A</v>
      </c>
      <c r="D22" t="e">
        <f>VLOOKUP($A22,'A Main Database'!$A:$R,4,0)</f>
        <v>#N/A</v>
      </c>
      <c r="E22" t="e">
        <f>VLOOKUP($A22,'A Main Database'!$A:$R,5,0)</f>
        <v>#N/A</v>
      </c>
      <c r="F22" t="e">
        <f>VLOOKUP($A22,'A Main Database'!$A:$R,6,0)</f>
        <v>#N/A</v>
      </c>
      <c r="G22" t="e">
        <f>VLOOKUP($A22,'A Main Database'!$A:$R,7,0)</f>
        <v>#N/A</v>
      </c>
      <c r="H22" t="e">
        <f>VLOOKUP($A22,'A Main Database'!$A:$R,8,0)</f>
        <v>#N/A</v>
      </c>
      <c r="I22" t="e">
        <f>VLOOKUP($A22,'A Main Database'!$A:$R,9,0)</f>
        <v>#N/A</v>
      </c>
      <c r="J22" t="e">
        <f>VLOOKUP($A22,'A Main Database'!$A:$R,10,0)</f>
        <v>#N/A</v>
      </c>
      <c r="K22" t="e">
        <f>VLOOKUP($A22,'A Main Database'!$A:$R,11,0)</f>
        <v>#N/A</v>
      </c>
      <c r="L22" t="e">
        <f>VLOOKUP($A22,'A Main Database'!$A:$R,12,0)</f>
        <v>#N/A</v>
      </c>
      <c r="M22" t="e">
        <f>VLOOKUP($A22,'A Main Database'!$A:$R,13,0)</f>
        <v>#N/A</v>
      </c>
      <c r="N22" t="e">
        <f>VLOOKUP($A22,'A Main Database'!$A:$R,14,0)</f>
        <v>#N/A</v>
      </c>
      <c r="O22" t="e">
        <f>VLOOKUP($A22,'A Main Database'!$A:$R,15,0)</f>
        <v>#N/A</v>
      </c>
      <c r="P22" s="6" t="e">
        <f>VLOOKUP($A22,'A Main Database'!$A:$R,16,0)</f>
        <v>#N/A</v>
      </c>
      <c r="Q22" t="e">
        <f>VLOOKUP($A22,'A Main Database'!$A:$R,17,0)</f>
        <v>#N/A</v>
      </c>
      <c r="R22" t="e">
        <f>VLOOKUP($A22,'A Main Database'!$A:$R,18,0)</f>
        <v>#N/A</v>
      </c>
      <c r="S22" t="e">
        <f>VLOOKUP($A22,'A Main Database'!$A:$R,19,0)</f>
        <v>#N/A</v>
      </c>
      <c r="U22" t="e">
        <f>VLOOKUP(B22,'A Main Database'!A:A,1,0)</f>
        <v>#N/A</v>
      </c>
      <c r="V22" t="e">
        <f>VLOOKUP(B22,'A Main Database'!I:I,1,0)</f>
        <v>#N/A</v>
      </c>
      <c r="W22" t="e">
        <f>VLOOKUP(B22,'A Main Database'!M:M,1,0)</f>
        <v>#N/A</v>
      </c>
      <c r="X22" t="e">
        <f>VLOOKUP(B22,'A Main Database'!P:P,1,0)</f>
        <v>#N/A</v>
      </c>
      <c r="Y22" t="s">
        <v>287</v>
      </c>
      <c r="Z22" t="s">
        <v>292</v>
      </c>
      <c r="AA22" t="str">
        <f t="shared" si="1"/>
        <v>https://www.commercialconstructionfumihogo.blogspot.com/submit</v>
      </c>
    </row>
    <row r="23" spans="1:27" x14ac:dyDescent="0.25">
      <c r="A23" t="str">
        <f t="shared" si="0"/>
        <v>http://companyontop.com/submit</v>
      </c>
      <c r="B23" t="s">
        <v>126</v>
      </c>
      <c r="C23" s="4" t="e">
        <f>VLOOKUP($A23,'A Main Database'!$A:$R,3,0)</f>
        <v>#N/A</v>
      </c>
      <c r="D23" t="e">
        <f>VLOOKUP($A23,'A Main Database'!$A:$R,4,0)</f>
        <v>#N/A</v>
      </c>
      <c r="E23" t="e">
        <f>VLOOKUP($A23,'A Main Database'!$A:$R,5,0)</f>
        <v>#N/A</v>
      </c>
      <c r="F23" t="e">
        <f>VLOOKUP($A23,'A Main Database'!$A:$R,6,0)</f>
        <v>#N/A</v>
      </c>
      <c r="G23" t="e">
        <f>VLOOKUP($A23,'A Main Database'!$A:$R,7,0)</f>
        <v>#N/A</v>
      </c>
      <c r="H23" t="e">
        <f>VLOOKUP($A23,'A Main Database'!$A:$R,8,0)</f>
        <v>#N/A</v>
      </c>
      <c r="I23" t="e">
        <f>VLOOKUP($A23,'A Main Database'!$A:$R,9,0)</f>
        <v>#N/A</v>
      </c>
      <c r="J23" t="e">
        <f>VLOOKUP($A23,'A Main Database'!$A:$R,10,0)</f>
        <v>#N/A</v>
      </c>
      <c r="K23" t="e">
        <f>VLOOKUP($A23,'A Main Database'!$A:$R,11,0)</f>
        <v>#N/A</v>
      </c>
      <c r="L23" t="e">
        <f>VLOOKUP($A23,'A Main Database'!$A:$R,12,0)</f>
        <v>#N/A</v>
      </c>
      <c r="M23" t="e">
        <f>VLOOKUP($A23,'A Main Database'!$A:$R,13,0)</f>
        <v>#N/A</v>
      </c>
      <c r="N23" t="e">
        <f>VLOOKUP($A23,'A Main Database'!$A:$R,14,0)</f>
        <v>#N/A</v>
      </c>
      <c r="O23" t="e">
        <f>VLOOKUP($A23,'A Main Database'!$A:$R,15,0)</f>
        <v>#N/A</v>
      </c>
      <c r="P23" s="6" t="e">
        <f>VLOOKUP($A23,'A Main Database'!$A:$R,16,0)</f>
        <v>#N/A</v>
      </c>
      <c r="Q23" t="e">
        <f>VLOOKUP($A23,'A Main Database'!$A:$R,17,0)</f>
        <v>#N/A</v>
      </c>
      <c r="R23" t="e">
        <f>VLOOKUP($A23,'A Main Database'!$A:$R,18,0)</f>
        <v>#N/A</v>
      </c>
      <c r="S23" t="e">
        <f>VLOOKUP($A23,'A Main Database'!$A:$R,19,0)</f>
        <v>#N/A</v>
      </c>
      <c r="U23" t="e">
        <f>VLOOKUP(B23,'A Main Database'!A:A,1,0)</f>
        <v>#N/A</v>
      </c>
      <c r="V23" t="e">
        <f>VLOOKUP(B23,'A Main Database'!I:I,1,0)</f>
        <v>#N/A</v>
      </c>
      <c r="W23" t="e">
        <f>VLOOKUP(B23,'A Main Database'!M:M,1,0)</f>
        <v>#N/A</v>
      </c>
      <c r="X23" t="e">
        <f>VLOOKUP(B23,'A Main Database'!P:P,1,0)</f>
        <v>#N/A</v>
      </c>
      <c r="Y23" t="s">
        <v>287</v>
      </c>
      <c r="Z23" t="s">
        <v>292</v>
      </c>
      <c r="AA23" t="str">
        <f t="shared" si="1"/>
        <v>http://companyontop.com/submit</v>
      </c>
    </row>
    <row r="24" spans="1:27" x14ac:dyDescent="0.25">
      <c r="A24" t="str">
        <f t="shared" si="0"/>
        <v>www.constructionjobmoinpa.blogspot.com/submit</v>
      </c>
      <c r="B24" t="s">
        <v>127</v>
      </c>
      <c r="C24" s="4" t="e">
        <f>VLOOKUP($A24,'A Main Database'!$A:$R,3,0)</f>
        <v>#N/A</v>
      </c>
      <c r="D24" t="e">
        <f>VLOOKUP($A24,'A Main Database'!$A:$R,4,0)</f>
        <v>#N/A</v>
      </c>
      <c r="E24" t="e">
        <f>VLOOKUP($A24,'A Main Database'!$A:$R,5,0)</f>
        <v>#N/A</v>
      </c>
      <c r="F24" t="e">
        <f>VLOOKUP($A24,'A Main Database'!$A:$R,6,0)</f>
        <v>#N/A</v>
      </c>
      <c r="G24" t="e">
        <f>VLOOKUP($A24,'A Main Database'!$A:$R,7,0)</f>
        <v>#N/A</v>
      </c>
      <c r="H24" t="e">
        <f>VLOOKUP($A24,'A Main Database'!$A:$R,8,0)</f>
        <v>#N/A</v>
      </c>
      <c r="I24" t="e">
        <f>VLOOKUP($A24,'A Main Database'!$A:$R,9,0)</f>
        <v>#N/A</v>
      </c>
      <c r="J24" t="e">
        <f>VLOOKUP($A24,'A Main Database'!$A:$R,10,0)</f>
        <v>#N/A</v>
      </c>
      <c r="K24" t="e">
        <f>VLOOKUP($A24,'A Main Database'!$A:$R,11,0)</f>
        <v>#N/A</v>
      </c>
      <c r="L24" t="e">
        <f>VLOOKUP($A24,'A Main Database'!$A:$R,12,0)</f>
        <v>#N/A</v>
      </c>
      <c r="M24" t="e">
        <f>VLOOKUP($A24,'A Main Database'!$A:$R,13,0)</f>
        <v>#N/A</v>
      </c>
      <c r="N24" t="e">
        <f>VLOOKUP($A24,'A Main Database'!$A:$R,14,0)</f>
        <v>#N/A</v>
      </c>
      <c r="O24" t="e">
        <f>VLOOKUP($A24,'A Main Database'!$A:$R,15,0)</f>
        <v>#N/A</v>
      </c>
      <c r="P24" s="6" t="e">
        <f>VLOOKUP($A24,'A Main Database'!$A:$R,16,0)</f>
        <v>#N/A</v>
      </c>
      <c r="Q24" t="e">
        <f>VLOOKUP($A24,'A Main Database'!$A:$R,17,0)</f>
        <v>#N/A</v>
      </c>
      <c r="R24" t="e">
        <f>VLOOKUP($A24,'A Main Database'!$A:$R,18,0)</f>
        <v>#N/A</v>
      </c>
      <c r="S24" t="e">
        <f>VLOOKUP($A24,'A Main Database'!$A:$R,19,0)</f>
        <v>#N/A</v>
      </c>
      <c r="U24" t="e">
        <f>VLOOKUP(B24,'A Main Database'!A:A,1,0)</f>
        <v>#N/A</v>
      </c>
      <c r="V24" t="e">
        <f>VLOOKUP(B24,'A Main Database'!I:I,1,0)</f>
        <v>#N/A</v>
      </c>
      <c r="W24" t="e">
        <f>VLOOKUP(B24,'A Main Database'!M:M,1,0)</f>
        <v>#N/A</v>
      </c>
      <c r="X24" t="e">
        <f>VLOOKUP(B24,'A Main Database'!P:P,1,0)</f>
        <v>#N/A</v>
      </c>
      <c r="Y24" t="s">
        <v>287</v>
      </c>
      <c r="Z24" t="s">
        <v>292</v>
      </c>
      <c r="AA24" t="str">
        <f t="shared" si="1"/>
        <v>www.constructionjobmoinpa.blogspot.com/submit</v>
      </c>
    </row>
    <row r="25" spans="1:27" x14ac:dyDescent="0.25">
      <c r="A25" t="str">
        <f t="shared" si="0"/>
        <v>dirpopulus.org/submit</v>
      </c>
      <c r="B25" t="s">
        <v>39</v>
      </c>
      <c r="C25" s="4" t="e">
        <f>VLOOKUP($A25,'A Main Database'!$A:$R,3,0)</f>
        <v>#N/A</v>
      </c>
      <c r="D25" t="e">
        <f>VLOOKUP($A25,'A Main Database'!$A:$R,4,0)</f>
        <v>#N/A</v>
      </c>
      <c r="E25" t="e">
        <f>VLOOKUP($A25,'A Main Database'!$A:$R,5,0)</f>
        <v>#N/A</v>
      </c>
      <c r="F25" t="e">
        <f>VLOOKUP($A25,'A Main Database'!$A:$R,6,0)</f>
        <v>#N/A</v>
      </c>
      <c r="G25" t="e">
        <f>VLOOKUP($A25,'A Main Database'!$A:$R,7,0)</f>
        <v>#N/A</v>
      </c>
      <c r="H25" t="e">
        <f>VLOOKUP($A25,'A Main Database'!$A:$R,8,0)</f>
        <v>#N/A</v>
      </c>
      <c r="I25" t="e">
        <f>VLOOKUP($A25,'A Main Database'!$A:$R,9,0)</f>
        <v>#N/A</v>
      </c>
      <c r="J25" t="e">
        <f>VLOOKUP($A25,'A Main Database'!$A:$R,10,0)</f>
        <v>#N/A</v>
      </c>
      <c r="K25" t="e">
        <f>VLOOKUP($A25,'A Main Database'!$A:$R,11,0)</f>
        <v>#N/A</v>
      </c>
      <c r="L25" t="e">
        <f>VLOOKUP($A25,'A Main Database'!$A:$R,12,0)</f>
        <v>#N/A</v>
      </c>
      <c r="M25" t="e">
        <f>VLOOKUP($A25,'A Main Database'!$A:$R,13,0)</f>
        <v>#N/A</v>
      </c>
      <c r="N25" t="e">
        <f>VLOOKUP($A25,'A Main Database'!$A:$R,14,0)</f>
        <v>#N/A</v>
      </c>
      <c r="O25" t="e">
        <f>VLOOKUP($A25,'A Main Database'!$A:$R,15,0)</f>
        <v>#N/A</v>
      </c>
      <c r="P25" s="6" t="e">
        <f>VLOOKUP($A25,'A Main Database'!$A:$R,16,0)</f>
        <v>#N/A</v>
      </c>
      <c r="Q25" t="e">
        <f>VLOOKUP($A25,'A Main Database'!$A:$R,17,0)</f>
        <v>#N/A</v>
      </c>
      <c r="R25" t="e">
        <f>VLOOKUP($A25,'A Main Database'!$A:$R,18,0)</f>
        <v>#N/A</v>
      </c>
      <c r="S25" t="e">
        <f>VLOOKUP($A25,'A Main Database'!$A:$R,19,0)</f>
        <v>#N/A</v>
      </c>
      <c r="U25" t="str">
        <f>VLOOKUP(B25,'A Main Database'!A:A,1,0)</f>
        <v>dirpopulus.org</v>
      </c>
      <c r="V25" t="e">
        <f>VLOOKUP(B25,'A Main Database'!I:I,1,0)</f>
        <v>#N/A</v>
      </c>
      <c r="W25" t="e">
        <f>VLOOKUP(B25,'A Main Database'!M:M,1,0)</f>
        <v>#N/A</v>
      </c>
      <c r="X25" t="e">
        <f>VLOOKUP(B25,'A Main Database'!P:P,1,0)</f>
        <v>#N/A</v>
      </c>
      <c r="Y25" t="s">
        <v>128</v>
      </c>
      <c r="Z25" t="s">
        <v>292</v>
      </c>
      <c r="AA25" t="str">
        <f t="shared" si="1"/>
        <v>dirpopulus.org/submit</v>
      </c>
    </row>
    <row r="26" spans="1:27" x14ac:dyDescent="0.25">
      <c r="A26" t="str">
        <f t="shared" si="0"/>
        <v>firstfollower.com/submit</v>
      </c>
      <c r="B26" t="s">
        <v>40</v>
      </c>
      <c r="C26" s="4" t="e">
        <f>VLOOKUP($A26,'A Main Database'!$A:$R,3,0)</f>
        <v>#N/A</v>
      </c>
      <c r="D26" t="e">
        <f>VLOOKUP($A26,'A Main Database'!$A:$R,4,0)</f>
        <v>#N/A</v>
      </c>
      <c r="E26" t="e">
        <f>VLOOKUP($A26,'A Main Database'!$A:$R,5,0)</f>
        <v>#N/A</v>
      </c>
      <c r="F26" t="e">
        <f>VLOOKUP($A26,'A Main Database'!$A:$R,6,0)</f>
        <v>#N/A</v>
      </c>
      <c r="G26" t="e">
        <f>VLOOKUP($A26,'A Main Database'!$A:$R,7,0)</f>
        <v>#N/A</v>
      </c>
      <c r="H26" t="e">
        <f>VLOOKUP($A26,'A Main Database'!$A:$R,8,0)</f>
        <v>#N/A</v>
      </c>
      <c r="I26" t="e">
        <f>VLOOKUP($A26,'A Main Database'!$A:$R,9,0)</f>
        <v>#N/A</v>
      </c>
      <c r="J26" t="e">
        <f>VLOOKUP($A26,'A Main Database'!$A:$R,10,0)</f>
        <v>#N/A</v>
      </c>
      <c r="K26" t="e">
        <f>VLOOKUP($A26,'A Main Database'!$A:$R,11,0)</f>
        <v>#N/A</v>
      </c>
      <c r="L26" t="e">
        <f>VLOOKUP($A26,'A Main Database'!$A:$R,12,0)</f>
        <v>#N/A</v>
      </c>
      <c r="M26" t="e">
        <f>VLOOKUP($A26,'A Main Database'!$A:$R,13,0)</f>
        <v>#N/A</v>
      </c>
      <c r="N26" t="e">
        <f>VLOOKUP($A26,'A Main Database'!$A:$R,14,0)</f>
        <v>#N/A</v>
      </c>
      <c r="O26" t="e">
        <f>VLOOKUP($A26,'A Main Database'!$A:$R,15,0)</f>
        <v>#N/A</v>
      </c>
      <c r="P26" s="6" t="e">
        <f>VLOOKUP($A26,'A Main Database'!$A:$R,16,0)</f>
        <v>#N/A</v>
      </c>
      <c r="Q26" t="e">
        <f>VLOOKUP($A26,'A Main Database'!$A:$R,17,0)</f>
        <v>#N/A</v>
      </c>
      <c r="R26" t="e">
        <f>VLOOKUP($A26,'A Main Database'!$A:$R,18,0)</f>
        <v>#N/A</v>
      </c>
      <c r="S26" t="e">
        <f>VLOOKUP($A26,'A Main Database'!$A:$R,19,0)</f>
        <v>#N/A</v>
      </c>
      <c r="U26" t="str">
        <f>VLOOKUP(B26,'A Main Database'!A:A,1,0)</f>
        <v>firstfollower.com</v>
      </c>
      <c r="V26" t="e">
        <f>VLOOKUP(B26,'A Main Database'!I:I,1,0)</f>
        <v>#N/A</v>
      </c>
      <c r="W26" t="e">
        <f>VLOOKUP(B26,'A Main Database'!M:M,1,0)</f>
        <v>#N/A</v>
      </c>
      <c r="X26" t="e">
        <f>VLOOKUP(B26,'A Main Database'!P:P,1,0)</f>
        <v>#N/A</v>
      </c>
      <c r="Y26" t="s">
        <v>128</v>
      </c>
      <c r="Z26" t="s">
        <v>292</v>
      </c>
      <c r="AA26" t="str">
        <f t="shared" si="1"/>
        <v>firstfollower.com/submit</v>
      </c>
    </row>
    <row r="27" spans="1:27" x14ac:dyDescent="0.25">
      <c r="A27" t="str">
        <f t="shared" si="0"/>
        <v>housecleaningbester.blogspot.com/submit</v>
      </c>
      <c r="B27" t="s">
        <v>41</v>
      </c>
      <c r="C27" s="4" t="e">
        <f>VLOOKUP($A27,'A Main Database'!$A:$R,3,0)</f>
        <v>#N/A</v>
      </c>
      <c r="D27" t="e">
        <f>VLOOKUP($A27,'A Main Database'!$A:$R,4,0)</f>
        <v>#N/A</v>
      </c>
      <c r="E27" t="e">
        <f>VLOOKUP($A27,'A Main Database'!$A:$R,5,0)</f>
        <v>#N/A</v>
      </c>
      <c r="F27" t="e">
        <f>VLOOKUP($A27,'A Main Database'!$A:$R,6,0)</f>
        <v>#N/A</v>
      </c>
      <c r="G27" t="e">
        <f>VLOOKUP($A27,'A Main Database'!$A:$R,7,0)</f>
        <v>#N/A</v>
      </c>
      <c r="H27" t="e">
        <f>VLOOKUP($A27,'A Main Database'!$A:$R,8,0)</f>
        <v>#N/A</v>
      </c>
      <c r="I27" t="e">
        <f>VLOOKUP($A27,'A Main Database'!$A:$R,9,0)</f>
        <v>#N/A</v>
      </c>
      <c r="J27" t="e">
        <f>VLOOKUP($A27,'A Main Database'!$A:$R,10,0)</f>
        <v>#N/A</v>
      </c>
      <c r="K27" t="e">
        <f>VLOOKUP($A27,'A Main Database'!$A:$R,11,0)</f>
        <v>#N/A</v>
      </c>
      <c r="L27" t="e">
        <f>VLOOKUP($A27,'A Main Database'!$A:$R,12,0)</f>
        <v>#N/A</v>
      </c>
      <c r="M27" t="e">
        <f>VLOOKUP($A27,'A Main Database'!$A:$R,13,0)</f>
        <v>#N/A</v>
      </c>
      <c r="N27" t="e">
        <f>VLOOKUP($A27,'A Main Database'!$A:$R,14,0)</f>
        <v>#N/A</v>
      </c>
      <c r="O27" t="e">
        <f>VLOOKUP($A27,'A Main Database'!$A:$R,15,0)</f>
        <v>#N/A</v>
      </c>
      <c r="P27" s="6" t="e">
        <f>VLOOKUP($A27,'A Main Database'!$A:$R,16,0)</f>
        <v>#N/A</v>
      </c>
      <c r="Q27" t="e">
        <f>VLOOKUP($A27,'A Main Database'!$A:$R,17,0)</f>
        <v>#N/A</v>
      </c>
      <c r="R27" t="e">
        <f>VLOOKUP($A27,'A Main Database'!$A:$R,18,0)</f>
        <v>#N/A</v>
      </c>
      <c r="S27" t="e">
        <f>VLOOKUP($A27,'A Main Database'!$A:$R,19,0)</f>
        <v>#N/A</v>
      </c>
      <c r="U27" t="str">
        <f>VLOOKUP(B27,'A Main Database'!A:A,1,0)</f>
        <v>housecleaningbester.blogspot.com</v>
      </c>
      <c r="V27" t="e">
        <f>VLOOKUP(B27,'A Main Database'!I:I,1,0)</f>
        <v>#N/A</v>
      </c>
      <c r="W27" t="e">
        <f>VLOOKUP(B27,'A Main Database'!M:M,1,0)</f>
        <v>#N/A</v>
      </c>
      <c r="X27" t="e">
        <f>VLOOKUP(B27,'A Main Database'!P:P,1,0)</f>
        <v>#N/A</v>
      </c>
      <c r="Y27" t="s">
        <v>128</v>
      </c>
      <c r="Z27" t="s">
        <v>292</v>
      </c>
      <c r="AA27" t="str">
        <f t="shared" si="1"/>
        <v>housecleaningbester.blogspot.com/submit</v>
      </c>
    </row>
    <row r="28" spans="1:27" x14ac:dyDescent="0.25">
      <c r="A28" t="str">
        <f t="shared" si="0"/>
        <v>iik.nebocom.press/submit</v>
      </c>
      <c r="B28" t="s">
        <v>92</v>
      </c>
      <c r="C28" s="4" t="e">
        <f>VLOOKUP($A28,'A Main Database'!$A:$R,3,0)</f>
        <v>#N/A</v>
      </c>
      <c r="D28" t="e">
        <f>VLOOKUP($A28,'A Main Database'!$A:$R,4,0)</f>
        <v>#N/A</v>
      </c>
      <c r="E28" t="e">
        <f>VLOOKUP($A28,'A Main Database'!$A:$R,5,0)</f>
        <v>#N/A</v>
      </c>
      <c r="F28" t="e">
        <f>VLOOKUP($A28,'A Main Database'!$A:$R,6,0)</f>
        <v>#N/A</v>
      </c>
      <c r="G28" t="e">
        <f>VLOOKUP($A28,'A Main Database'!$A:$R,7,0)</f>
        <v>#N/A</v>
      </c>
      <c r="H28" t="e">
        <f>VLOOKUP($A28,'A Main Database'!$A:$R,8,0)</f>
        <v>#N/A</v>
      </c>
      <c r="I28" t="e">
        <f>VLOOKUP($A28,'A Main Database'!$A:$R,9,0)</f>
        <v>#N/A</v>
      </c>
      <c r="J28" t="e">
        <f>VLOOKUP($A28,'A Main Database'!$A:$R,10,0)</f>
        <v>#N/A</v>
      </c>
      <c r="K28" t="e">
        <f>VLOOKUP($A28,'A Main Database'!$A:$R,11,0)</f>
        <v>#N/A</v>
      </c>
      <c r="L28" t="e">
        <f>VLOOKUP($A28,'A Main Database'!$A:$R,12,0)</f>
        <v>#N/A</v>
      </c>
      <c r="M28" t="e">
        <f>VLOOKUP($A28,'A Main Database'!$A:$R,13,0)</f>
        <v>#N/A</v>
      </c>
      <c r="N28" t="e">
        <f>VLOOKUP($A28,'A Main Database'!$A:$R,14,0)</f>
        <v>#N/A</v>
      </c>
      <c r="O28" t="e">
        <f>VLOOKUP($A28,'A Main Database'!$A:$R,15,0)</f>
        <v>#N/A</v>
      </c>
      <c r="P28" s="6" t="e">
        <f>VLOOKUP($A28,'A Main Database'!$A:$R,16,0)</f>
        <v>#N/A</v>
      </c>
      <c r="Q28" t="e">
        <f>VLOOKUP($A28,'A Main Database'!$A:$R,17,0)</f>
        <v>#N/A</v>
      </c>
      <c r="R28" t="e">
        <f>VLOOKUP($A28,'A Main Database'!$A:$R,18,0)</f>
        <v>#N/A</v>
      </c>
      <c r="S28" t="e">
        <f>VLOOKUP($A28,'A Main Database'!$A:$R,19,0)</f>
        <v>#N/A</v>
      </c>
      <c r="U28" t="e">
        <f>VLOOKUP(B28,'A Main Database'!A:A,1,0)</f>
        <v>#N/A</v>
      </c>
      <c r="V28" t="e">
        <f>VLOOKUP(B28,'A Main Database'!I:I,1,0)</f>
        <v>#N/A</v>
      </c>
      <c r="W28" t="e">
        <f>VLOOKUP(B28,'A Main Database'!M:M,1,0)</f>
        <v>#N/A</v>
      </c>
      <c r="X28" t="e">
        <f>VLOOKUP(B28,'A Main Database'!P:P,1,0)</f>
        <v>#N/A</v>
      </c>
      <c r="Y28" t="s">
        <v>287</v>
      </c>
      <c r="Z28" t="s">
        <v>292</v>
      </c>
      <c r="AA28" t="str">
        <f t="shared" si="1"/>
        <v>iik.nebocom.press/submit</v>
      </c>
    </row>
    <row r="29" spans="1:27" x14ac:dyDescent="0.25">
      <c r="A29" t="str">
        <f t="shared" si="0"/>
        <v>listingsca.com/submit</v>
      </c>
      <c r="B29" t="s">
        <v>43</v>
      </c>
      <c r="C29" s="4" t="e">
        <f>VLOOKUP($A29,'A Main Database'!$A:$R,3,0)</f>
        <v>#N/A</v>
      </c>
      <c r="D29" t="e">
        <f>VLOOKUP($A29,'A Main Database'!$A:$R,4,0)</f>
        <v>#N/A</v>
      </c>
      <c r="E29" t="e">
        <f>VLOOKUP($A29,'A Main Database'!$A:$R,5,0)</f>
        <v>#N/A</v>
      </c>
      <c r="F29" t="e">
        <f>VLOOKUP($A29,'A Main Database'!$A:$R,6,0)</f>
        <v>#N/A</v>
      </c>
      <c r="G29" t="e">
        <f>VLOOKUP($A29,'A Main Database'!$A:$R,7,0)</f>
        <v>#N/A</v>
      </c>
      <c r="H29" t="e">
        <f>VLOOKUP($A29,'A Main Database'!$A:$R,8,0)</f>
        <v>#N/A</v>
      </c>
      <c r="I29" t="e">
        <f>VLOOKUP($A29,'A Main Database'!$A:$R,9,0)</f>
        <v>#N/A</v>
      </c>
      <c r="J29" t="e">
        <f>VLOOKUP($A29,'A Main Database'!$A:$R,10,0)</f>
        <v>#N/A</v>
      </c>
      <c r="K29" t="e">
        <f>VLOOKUP($A29,'A Main Database'!$A:$R,11,0)</f>
        <v>#N/A</v>
      </c>
      <c r="L29" t="e">
        <f>VLOOKUP($A29,'A Main Database'!$A:$R,12,0)</f>
        <v>#N/A</v>
      </c>
      <c r="M29" t="e">
        <f>VLOOKUP($A29,'A Main Database'!$A:$R,13,0)</f>
        <v>#N/A</v>
      </c>
      <c r="N29" t="e">
        <f>VLOOKUP($A29,'A Main Database'!$A:$R,14,0)</f>
        <v>#N/A</v>
      </c>
      <c r="O29" t="e">
        <f>VLOOKUP($A29,'A Main Database'!$A:$R,15,0)</f>
        <v>#N/A</v>
      </c>
      <c r="P29" s="6" t="e">
        <f>VLOOKUP($A29,'A Main Database'!$A:$R,16,0)</f>
        <v>#N/A</v>
      </c>
      <c r="Q29" t="e">
        <f>VLOOKUP($A29,'A Main Database'!$A:$R,17,0)</f>
        <v>#N/A</v>
      </c>
      <c r="R29" t="e">
        <f>VLOOKUP($A29,'A Main Database'!$A:$R,18,0)</f>
        <v>#N/A</v>
      </c>
      <c r="S29" t="e">
        <f>VLOOKUP($A29,'A Main Database'!$A:$R,19,0)</f>
        <v>#N/A</v>
      </c>
      <c r="U29" t="str">
        <f>VLOOKUP(B29,'A Main Database'!A:A,1,0)</f>
        <v>listingsca.com</v>
      </c>
      <c r="V29" t="e">
        <f>VLOOKUP(B29,'A Main Database'!I:I,1,0)</f>
        <v>#N/A</v>
      </c>
      <c r="W29" t="e">
        <f>VLOOKUP(B29,'A Main Database'!M:M,1,0)</f>
        <v>#N/A</v>
      </c>
      <c r="X29" t="e">
        <f>VLOOKUP(B29,'A Main Database'!P:P,1,0)</f>
        <v>#N/A</v>
      </c>
      <c r="Y29" t="s">
        <v>128</v>
      </c>
      <c r="Z29" t="s">
        <v>292</v>
      </c>
      <c r="AA29" t="str">
        <f t="shared" si="1"/>
        <v>listingsca.com/submit</v>
      </c>
    </row>
    <row r="30" spans="1:27" x14ac:dyDescent="0.25">
      <c r="A30" t="str">
        <f t="shared" si="0"/>
        <v>mbicorp.ca/submit</v>
      </c>
      <c r="B30" t="s">
        <v>44</v>
      </c>
      <c r="C30" s="4" t="e">
        <f>VLOOKUP($A30,'A Main Database'!$A:$R,3,0)</f>
        <v>#N/A</v>
      </c>
      <c r="D30" t="e">
        <f>VLOOKUP($A30,'A Main Database'!$A:$R,4,0)</f>
        <v>#N/A</v>
      </c>
      <c r="E30" t="e">
        <f>VLOOKUP($A30,'A Main Database'!$A:$R,5,0)</f>
        <v>#N/A</v>
      </c>
      <c r="F30" t="e">
        <f>VLOOKUP($A30,'A Main Database'!$A:$R,6,0)</f>
        <v>#N/A</v>
      </c>
      <c r="G30" t="e">
        <f>VLOOKUP($A30,'A Main Database'!$A:$R,7,0)</f>
        <v>#N/A</v>
      </c>
      <c r="H30" t="e">
        <f>VLOOKUP($A30,'A Main Database'!$A:$R,8,0)</f>
        <v>#N/A</v>
      </c>
      <c r="I30" t="e">
        <f>VLOOKUP($A30,'A Main Database'!$A:$R,9,0)</f>
        <v>#N/A</v>
      </c>
      <c r="J30" t="e">
        <f>VLOOKUP($A30,'A Main Database'!$A:$R,10,0)</f>
        <v>#N/A</v>
      </c>
      <c r="K30" t="e">
        <f>VLOOKUP($A30,'A Main Database'!$A:$R,11,0)</f>
        <v>#N/A</v>
      </c>
      <c r="L30" t="e">
        <f>VLOOKUP($A30,'A Main Database'!$A:$R,12,0)</f>
        <v>#N/A</v>
      </c>
      <c r="M30" t="e">
        <f>VLOOKUP($A30,'A Main Database'!$A:$R,13,0)</f>
        <v>#N/A</v>
      </c>
      <c r="N30" t="e">
        <f>VLOOKUP($A30,'A Main Database'!$A:$R,14,0)</f>
        <v>#N/A</v>
      </c>
      <c r="O30" t="e">
        <f>VLOOKUP($A30,'A Main Database'!$A:$R,15,0)</f>
        <v>#N/A</v>
      </c>
      <c r="P30" s="6" t="e">
        <f>VLOOKUP($A30,'A Main Database'!$A:$R,16,0)</f>
        <v>#N/A</v>
      </c>
      <c r="Q30" t="e">
        <f>VLOOKUP($A30,'A Main Database'!$A:$R,17,0)</f>
        <v>#N/A</v>
      </c>
      <c r="R30" t="e">
        <f>VLOOKUP($A30,'A Main Database'!$A:$R,18,0)</f>
        <v>#N/A</v>
      </c>
      <c r="S30" t="e">
        <f>VLOOKUP($A30,'A Main Database'!$A:$R,19,0)</f>
        <v>#N/A</v>
      </c>
      <c r="U30" t="str">
        <f>VLOOKUP(B30,'A Main Database'!A:A,1,0)</f>
        <v>mbicorp.ca</v>
      </c>
      <c r="V30" t="e">
        <f>VLOOKUP(B30,'A Main Database'!I:I,1,0)</f>
        <v>#N/A</v>
      </c>
      <c r="W30" t="e">
        <f>VLOOKUP(B30,'A Main Database'!M:M,1,0)</f>
        <v>#N/A</v>
      </c>
      <c r="X30" t="e">
        <f>VLOOKUP(B30,'A Main Database'!P:P,1,0)</f>
        <v>#N/A</v>
      </c>
      <c r="Y30" t="s">
        <v>128</v>
      </c>
      <c r="Z30" t="s">
        <v>292</v>
      </c>
      <c r="AA30" t="str">
        <f t="shared" si="1"/>
        <v>mbicorp.ca/submit</v>
      </c>
    </row>
    <row r="31" spans="1:27" x14ac:dyDescent="0.25">
      <c r="A31" t="str">
        <f t="shared" si="0"/>
        <v>milanosiamonoi.se/submit</v>
      </c>
      <c r="B31" t="s">
        <v>45</v>
      </c>
      <c r="C31" s="4" t="e">
        <f>VLOOKUP($A31,'A Main Database'!$A:$R,3,0)</f>
        <v>#N/A</v>
      </c>
      <c r="D31" t="e">
        <f>VLOOKUP($A31,'A Main Database'!$A:$R,4,0)</f>
        <v>#N/A</v>
      </c>
      <c r="E31" t="e">
        <f>VLOOKUP($A31,'A Main Database'!$A:$R,5,0)</f>
        <v>#N/A</v>
      </c>
      <c r="F31" t="e">
        <f>VLOOKUP($A31,'A Main Database'!$A:$R,6,0)</f>
        <v>#N/A</v>
      </c>
      <c r="G31" t="e">
        <f>VLOOKUP($A31,'A Main Database'!$A:$R,7,0)</f>
        <v>#N/A</v>
      </c>
      <c r="H31" t="e">
        <f>VLOOKUP($A31,'A Main Database'!$A:$R,8,0)</f>
        <v>#N/A</v>
      </c>
      <c r="I31" t="e">
        <f>VLOOKUP($A31,'A Main Database'!$A:$R,9,0)</f>
        <v>#N/A</v>
      </c>
      <c r="J31" t="e">
        <f>VLOOKUP($A31,'A Main Database'!$A:$R,10,0)</f>
        <v>#N/A</v>
      </c>
      <c r="K31" t="e">
        <f>VLOOKUP($A31,'A Main Database'!$A:$R,11,0)</f>
        <v>#N/A</v>
      </c>
      <c r="L31" t="e">
        <f>VLOOKUP($A31,'A Main Database'!$A:$R,12,0)</f>
        <v>#N/A</v>
      </c>
      <c r="M31" t="e">
        <f>VLOOKUP($A31,'A Main Database'!$A:$R,13,0)</f>
        <v>#N/A</v>
      </c>
      <c r="N31" t="e">
        <f>VLOOKUP($A31,'A Main Database'!$A:$R,14,0)</f>
        <v>#N/A</v>
      </c>
      <c r="O31" t="e">
        <f>VLOOKUP($A31,'A Main Database'!$A:$R,15,0)</f>
        <v>#N/A</v>
      </c>
      <c r="P31" s="6" t="e">
        <f>VLOOKUP($A31,'A Main Database'!$A:$R,16,0)</f>
        <v>#N/A</v>
      </c>
      <c r="Q31" t="e">
        <f>VLOOKUP($A31,'A Main Database'!$A:$R,17,0)</f>
        <v>#N/A</v>
      </c>
      <c r="R31" t="e">
        <f>VLOOKUP($A31,'A Main Database'!$A:$R,18,0)</f>
        <v>#N/A</v>
      </c>
      <c r="S31" t="e">
        <f>VLOOKUP($A31,'A Main Database'!$A:$R,19,0)</f>
        <v>#N/A</v>
      </c>
      <c r="U31" t="str">
        <f>VLOOKUP(B31,'A Main Database'!A:A,1,0)</f>
        <v>milanosiamonoi.se</v>
      </c>
      <c r="V31" t="e">
        <f>VLOOKUP(B31,'A Main Database'!I:I,1,0)</f>
        <v>#N/A</v>
      </c>
      <c r="W31" t="e">
        <f>VLOOKUP(B31,'A Main Database'!M:M,1,0)</f>
        <v>#N/A</v>
      </c>
      <c r="X31" t="e">
        <f>VLOOKUP(B31,'A Main Database'!P:P,1,0)</f>
        <v>#N/A</v>
      </c>
      <c r="Y31" t="s">
        <v>128</v>
      </c>
      <c r="Z31" t="s">
        <v>292</v>
      </c>
      <c r="AA31" t="str">
        <f t="shared" si="1"/>
        <v>milanosiamonoi.se/submit</v>
      </c>
    </row>
    <row r="32" spans="1:27" x14ac:dyDescent="0.25">
      <c r="A32" t="str">
        <f t="shared" si="0"/>
        <v>nav123.net/submit</v>
      </c>
      <c r="B32" t="s">
        <v>46</v>
      </c>
      <c r="C32" s="4" t="e">
        <f>VLOOKUP($A32,'A Main Database'!$A:$R,3,0)</f>
        <v>#N/A</v>
      </c>
      <c r="D32" t="e">
        <f>VLOOKUP($A32,'A Main Database'!$A:$R,4,0)</f>
        <v>#N/A</v>
      </c>
      <c r="E32" t="e">
        <f>VLOOKUP($A32,'A Main Database'!$A:$R,5,0)</f>
        <v>#N/A</v>
      </c>
      <c r="F32" t="e">
        <f>VLOOKUP($A32,'A Main Database'!$A:$R,6,0)</f>
        <v>#N/A</v>
      </c>
      <c r="G32" t="e">
        <f>VLOOKUP($A32,'A Main Database'!$A:$R,7,0)</f>
        <v>#N/A</v>
      </c>
      <c r="H32" t="e">
        <f>VLOOKUP($A32,'A Main Database'!$A:$R,8,0)</f>
        <v>#N/A</v>
      </c>
      <c r="I32" t="e">
        <f>VLOOKUP($A32,'A Main Database'!$A:$R,9,0)</f>
        <v>#N/A</v>
      </c>
      <c r="J32" t="e">
        <f>VLOOKUP($A32,'A Main Database'!$A:$R,10,0)</f>
        <v>#N/A</v>
      </c>
      <c r="K32" t="e">
        <f>VLOOKUP($A32,'A Main Database'!$A:$R,11,0)</f>
        <v>#N/A</v>
      </c>
      <c r="L32" t="e">
        <f>VLOOKUP($A32,'A Main Database'!$A:$R,12,0)</f>
        <v>#N/A</v>
      </c>
      <c r="M32" t="e">
        <f>VLOOKUP($A32,'A Main Database'!$A:$R,13,0)</f>
        <v>#N/A</v>
      </c>
      <c r="N32" t="e">
        <f>VLOOKUP($A32,'A Main Database'!$A:$R,14,0)</f>
        <v>#N/A</v>
      </c>
      <c r="O32" t="e">
        <f>VLOOKUP($A32,'A Main Database'!$A:$R,15,0)</f>
        <v>#N/A</v>
      </c>
      <c r="P32" s="6" t="e">
        <f>VLOOKUP($A32,'A Main Database'!$A:$R,16,0)</f>
        <v>#N/A</v>
      </c>
      <c r="Q32" t="e">
        <f>VLOOKUP($A32,'A Main Database'!$A:$R,17,0)</f>
        <v>#N/A</v>
      </c>
      <c r="R32" t="e">
        <f>VLOOKUP($A32,'A Main Database'!$A:$R,18,0)</f>
        <v>#N/A</v>
      </c>
      <c r="S32" t="e">
        <f>VLOOKUP($A32,'A Main Database'!$A:$R,19,0)</f>
        <v>#N/A</v>
      </c>
      <c r="U32" t="str">
        <f>VLOOKUP(B32,'A Main Database'!A:A,1,0)</f>
        <v>nav123.net</v>
      </c>
      <c r="V32" t="e">
        <f>VLOOKUP(B32,'A Main Database'!I:I,1,0)</f>
        <v>#N/A</v>
      </c>
      <c r="W32" t="e">
        <f>VLOOKUP(B32,'A Main Database'!M:M,1,0)</f>
        <v>#N/A</v>
      </c>
      <c r="X32" t="e">
        <f>VLOOKUP(B32,'A Main Database'!P:P,1,0)</f>
        <v>#N/A</v>
      </c>
      <c r="Y32" t="s">
        <v>128</v>
      </c>
      <c r="Z32" t="s">
        <v>292</v>
      </c>
      <c r="AA32" t="str">
        <f t="shared" si="1"/>
        <v>nav123.net/submit</v>
      </c>
    </row>
    <row r="33" spans="1:27" x14ac:dyDescent="0.25">
      <c r="A33" t="str">
        <f t="shared" si="0"/>
        <v>norgould.com/submit</v>
      </c>
      <c r="B33" t="s">
        <v>47</v>
      </c>
      <c r="C33" s="4" t="e">
        <f>VLOOKUP($A33,'A Main Database'!$A:$R,3,0)</f>
        <v>#N/A</v>
      </c>
      <c r="D33" t="e">
        <f>VLOOKUP($A33,'A Main Database'!$A:$R,4,0)</f>
        <v>#N/A</v>
      </c>
      <c r="E33" t="e">
        <f>VLOOKUP($A33,'A Main Database'!$A:$R,5,0)</f>
        <v>#N/A</v>
      </c>
      <c r="F33" t="e">
        <f>VLOOKUP($A33,'A Main Database'!$A:$R,6,0)</f>
        <v>#N/A</v>
      </c>
      <c r="G33" t="e">
        <f>VLOOKUP($A33,'A Main Database'!$A:$R,7,0)</f>
        <v>#N/A</v>
      </c>
      <c r="H33" t="e">
        <f>VLOOKUP($A33,'A Main Database'!$A:$R,8,0)</f>
        <v>#N/A</v>
      </c>
      <c r="I33" t="e">
        <f>VLOOKUP($A33,'A Main Database'!$A:$R,9,0)</f>
        <v>#N/A</v>
      </c>
      <c r="J33" t="e">
        <f>VLOOKUP($A33,'A Main Database'!$A:$R,10,0)</f>
        <v>#N/A</v>
      </c>
      <c r="K33" t="e">
        <f>VLOOKUP($A33,'A Main Database'!$A:$R,11,0)</f>
        <v>#N/A</v>
      </c>
      <c r="L33" t="e">
        <f>VLOOKUP($A33,'A Main Database'!$A:$R,12,0)</f>
        <v>#N/A</v>
      </c>
      <c r="M33" t="e">
        <f>VLOOKUP($A33,'A Main Database'!$A:$R,13,0)</f>
        <v>#N/A</v>
      </c>
      <c r="N33" t="e">
        <f>VLOOKUP($A33,'A Main Database'!$A:$R,14,0)</f>
        <v>#N/A</v>
      </c>
      <c r="O33" t="e">
        <f>VLOOKUP($A33,'A Main Database'!$A:$R,15,0)</f>
        <v>#N/A</v>
      </c>
      <c r="P33" s="6" t="e">
        <f>VLOOKUP($A33,'A Main Database'!$A:$R,16,0)</f>
        <v>#N/A</v>
      </c>
      <c r="Q33" t="e">
        <f>VLOOKUP($A33,'A Main Database'!$A:$R,17,0)</f>
        <v>#N/A</v>
      </c>
      <c r="R33" t="e">
        <f>VLOOKUP($A33,'A Main Database'!$A:$R,18,0)</f>
        <v>#N/A</v>
      </c>
      <c r="S33" t="e">
        <f>VLOOKUP($A33,'A Main Database'!$A:$R,19,0)</f>
        <v>#N/A</v>
      </c>
      <c r="U33" t="str">
        <f>VLOOKUP(B33,'A Main Database'!A:A,1,0)</f>
        <v>norgould.com</v>
      </c>
      <c r="V33" t="e">
        <f>VLOOKUP(B33,'A Main Database'!I:I,1,0)</f>
        <v>#N/A</v>
      </c>
      <c r="W33" t="e">
        <f>VLOOKUP(B33,'A Main Database'!M:M,1,0)</f>
        <v>#N/A</v>
      </c>
      <c r="X33" t="e">
        <f>VLOOKUP(B33,'A Main Database'!P:P,1,0)</f>
        <v>#N/A</v>
      </c>
      <c r="Y33" t="s">
        <v>128</v>
      </c>
      <c r="Z33" t="s">
        <v>292</v>
      </c>
      <c r="AA33" t="str">
        <f t="shared" si="1"/>
        <v>norgould.com/submit</v>
      </c>
    </row>
    <row r="34" spans="1:27" x14ac:dyDescent="0.25">
      <c r="A34" t="str">
        <f t="shared" si="0"/>
        <v>officecleaningekeiwaki.blogspot.com/submit</v>
      </c>
      <c r="B34" t="s">
        <v>48</v>
      </c>
      <c r="C34" s="4" t="e">
        <f>VLOOKUP($A34,'A Main Database'!$A:$R,3,0)</f>
        <v>#N/A</v>
      </c>
      <c r="D34" t="e">
        <f>VLOOKUP($A34,'A Main Database'!$A:$R,4,0)</f>
        <v>#N/A</v>
      </c>
      <c r="E34" t="e">
        <f>VLOOKUP($A34,'A Main Database'!$A:$R,5,0)</f>
        <v>#N/A</v>
      </c>
      <c r="F34" t="e">
        <f>VLOOKUP($A34,'A Main Database'!$A:$R,6,0)</f>
        <v>#N/A</v>
      </c>
      <c r="G34" t="e">
        <f>VLOOKUP($A34,'A Main Database'!$A:$R,7,0)</f>
        <v>#N/A</v>
      </c>
      <c r="H34" t="e">
        <f>VLOOKUP($A34,'A Main Database'!$A:$R,8,0)</f>
        <v>#N/A</v>
      </c>
      <c r="I34" t="e">
        <f>VLOOKUP($A34,'A Main Database'!$A:$R,9,0)</f>
        <v>#N/A</v>
      </c>
      <c r="J34" t="e">
        <f>VLOOKUP($A34,'A Main Database'!$A:$R,10,0)</f>
        <v>#N/A</v>
      </c>
      <c r="K34" t="e">
        <f>VLOOKUP($A34,'A Main Database'!$A:$R,11,0)</f>
        <v>#N/A</v>
      </c>
      <c r="L34" t="e">
        <f>VLOOKUP($A34,'A Main Database'!$A:$R,12,0)</f>
        <v>#N/A</v>
      </c>
      <c r="M34" t="e">
        <f>VLOOKUP($A34,'A Main Database'!$A:$R,13,0)</f>
        <v>#N/A</v>
      </c>
      <c r="N34" t="e">
        <f>VLOOKUP($A34,'A Main Database'!$A:$R,14,0)</f>
        <v>#N/A</v>
      </c>
      <c r="O34" t="e">
        <f>VLOOKUP($A34,'A Main Database'!$A:$R,15,0)</f>
        <v>#N/A</v>
      </c>
      <c r="P34" s="6" t="e">
        <f>VLOOKUP($A34,'A Main Database'!$A:$R,16,0)</f>
        <v>#N/A</v>
      </c>
      <c r="Q34" t="e">
        <f>VLOOKUP($A34,'A Main Database'!$A:$R,17,0)</f>
        <v>#N/A</v>
      </c>
      <c r="R34" t="e">
        <f>VLOOKUP($A34,'A Main Database'!$A:$R,18,0)</f>
        <v>#N/A</v>
      </c>
      <c r="S34" t="e">
        <f>VLOOKUP($A34,'A Main Database'!$A:$R,19,0)</f>
        <v>#N/A</v>
      </c>
      <c r="U34" t="str">
        <f>VLOOKUP(B34,'A Main Database'!A:A,1,0)</f>
        <v>officecleaningekeiwaki.blogspot.com</v>
      </c>
      <c r="V34" t="e">
        <f>VLOOKUP(B34,'A Main Database'!I:I,1,0)</f>
        <v>#N/A</v>
      </c>
      <c r="W34" t="e">
        <f>VLOOKUP(B34,'A Main Database'!M:M,1,0)</f>
        <v>#N/A</v>
      </c>
      <c r="X34" t="e">
        <f>VLOOKUP(B34,'A Main Database'!P:P,1,0)</f>
        <v>#N/A</v>
      </c>
      <c r="Y34" t="s">
        <v>128</v>
      </c>
      <c r="Z34" t="s">
        <v>292</v>
      </c>
      <c r="AA34" t="str">
        <f t="shared" si="1"/>
        <v>officecleaningekeiwaki.blogspot.com/submit</v>
      </c>
    </row>
    <row r="35" spans="1:27" x14ac:dyDescent="0.25">
      <c r="A35" t="str">
        <f t="shared" si="0"/>
        <v>officecleaningpokabako.blogspot.com/submit</v>
      </c>
      <c r="B35" t="s">
        <v>49</v>
      </c>
      <c r="C35" s="4" t="e">
        <f>VLOOKUP($A35,'A Main Database'!$A:$R,3,0)</f>
        <v>#N/A</v>
      </c>
      <c r="D35" t="e">
        <f>VLOOKUP($A35,'A Main Database'!$A:$R,4,0)</f>
        <v>#N/A</v>
      </c>
      <c r="E35" t="e">
        <f>VLOOKUP($A35,'A Main Database'!$A:$R,5,0)</f>
        <v>#N/A</v>
      </c>
      <c r="F35" t="e">
        <f>VLOOKUP($A35,'A Main Database'!$A:$R,6,0)</f>
        <v>#N/A</v>
      </c>
      <c r="G35" t="e">
        <f>VLOOKUP($A35,'A Main Database'!$A:$R,7,0)</f>
        <v>#N/A</v>
      </c>
      <c r="H35" t="e">
        <f>VLOOKUP($A35,'A Main Database'!$A:$R,8,0)</f>
        <v>#N/A</v>
      </c>
      <c r="I35" t="e">
        <f>VLOOKUP($A35,'A Main Database'!$A:$R,9,0)</f>
        <v>#N/A</v>
      </c>
      <c r="J35" t="e">
        <f>VLOOKUP($A35,'A Main Database'!$A:$R,10,0)</f>
        <v>#N/A</v>
      </c>
      <c r="K35" t="e">
        <f>VLOOKUP($A35,'A Main Database'!$A:$R,11,0)</f>
        <v>#N/A</v>
      </c>
      <c r="L35" t="e">
        <f>VLOOKUP($A35,'A Main Database'!$A:$R,12,0)</f>
        <v>#N/A</v>
      </c>
      <c r="M35" t="e">
        <f>VLOOKUP($A35,'A Main Database'!$A:$R,13,0)</f>
        <v>#N/A</v>
      </c>
      <c r="N35" t="e">
        <f>VLOOKUP($A35,'A Main Database'!$A:$R,14,0)</f>
        <v>#N/A</v>
      </c>
      <c r="O35" t="e">
        <f>VLOOKUP($A35,'A Main Database'!$A:$R,15,0)</f>
        <v>#N/A</v>
      </c>
      <c r="P35" s="6" t="e">
        <f>VLOOKUP($A35,'A Main Database'!$A:$R,16,0)</f>
        <v>#N/A</v>
      </c>
      <c r="Q35" t="e">
        <f>VLOOKUP($A35,'A Main Database'!$A:$R,17,0)</f>
        <v>#N/A</v>
      </c>
      <c r="R35" t="e">
        <f>VLOOKUP($A35,'A Main Database'!$A:$R,18,0)</f>
        <v>#N/A</v>
      </c>
      <c r="S35" t="e">
        <f>VLOOKUP($A35,'A Main Database'!$A:$R,19,0)</f>
        <v>#N/A</v>
      </c>
      <c r="U35" t="str">
        <f>VLOOKUP(B35,'A Main Database'!A:A,1,0)</f>
        <v>officecleaningpokabako.blogspot.com</v>
      </c>
      <c r="V35" t="e">
        <f>VLOOKUP(B35,'A Main Database'!I:I,1,0)</f>
        <v>#N/A</v>
      </c>
      <c r="W35" t="e">
        <f>VLOOKUP(B35,'A Main Database'!M:M,1,0)</f>
        <v>#N/A</v>
      </c>
      <c r="X35" t="e">
        <f>VLOOKUP(B35,'A Main Database'!P:P,1,0)</f>
        <v>#N/A</v>
      </c>
      <c r="Y35" t="s">
        <v>128</v>
      </c>
      <c r="Z35" t="s">
        <v>292</v>
      </c>
      <c r="AA35" t="str">
        <f t="shared" si="1"/>
        <v>officecleaningpokabako.blogspot.com/submit</v>
      </c>
    </row>
    <row r="36" spans="1:27" x14ac:dyDescent="0.25">
      <c r="A36" t="str">
        <f t="shared" si="0"/>
        <v>officecleaningtochka.blogspot.com/submit</v>
      </c>
      <c r="B36" t="s">
        <v>50</v>
      </c>
      <c r="C36" s="4" t="e">
        <f>VLOOKUP($A36,'A Main Database'!$A:$R,3,0)</f>
        <v>#N/A</v>
      </c>
      <c r="D36" t="e">
        <f>VLOOKUP($A36,'A Main Database'!$A:$R,4,0)</f>
        <v>#N/A</v>
      </c>
      <c r="E36" t="e">
        <f>VLOOKUP($A36,'A Main Database'!$A:$R,5,0)</f>
        <v>#N/A</v>
      </c>
      <c r="F36" t="e">
        <f>VLOOKUP($A36,'A Main Database'!$A:$R,6,0)</f>
        <v>#N/A</v>
      </c>
      <c r="G36" t="e">
        <f>VLOOKUP($A36,'A Main Database'!$A:$R,7,0)</f>
        <v>#N/A</v>
      </c>
      <c r="H36" t="e">
        <f>VLOOKUP($A36,'A Main Database'!$A:$R,8,0)</f>
        <v>#N/A</v>
      </c>
      <c r="I36" t="e">
        <f>VLOOKUP($A36,'A Main Database'!$A:$R,9,0)</f>
        <v>#N/A</v>
      </c>
      <c r="J36" t="e">
        <f>VLOOKUP($A36,'A Main Database'!$A:$R,10,0)</f>
        <v>#N/A</v>
      </c>
      <c r="K36" t="e">
        <f>VLOOKUP($A36,'A Main Database'!$A:$R,11,0)</f>
        <v>#N/A</v>
      </c>
      <c r="L36" t="e">
        <f>VLOOKUP($A36,'A Main Database'!$A:$R,12,0)</f>
        <v>#N/A</v>
      </c>
      <c r="M36" t="e">
        <f>VLOOKUP($A36,'A Main Database'!$A:$R,13,0)</f>
        <v>#N/A</v>
      </c>
      <c r="N36" t="e">
        <f>VLOOKUP($A36,'A Main Database'!$A:$R,14,0)</f>
        <v>#N/A</v>
      </c>
      <c r="O36" t="e">
        <f>VLOOKUP($A36,'A Main Database'!$A:$R,15,0)</f>
        <v>#N/A</v>
      </c>
      <c r="P36" s="6" t="e">
        <f>VLOOKUP($A36,'A Main Database'!$A:$R,16,0)</f>
        <v>#N/A</v>
      </c>
      <c r="Q36" t="e">
        <f>VLOOKUP($A36,'A Main Database'!$A:$R,17,0)</f>
        <v>#N/A</v>
      </c>
      <c r="R36" t="e">
        <f>VLOOKUP($A36,'A Main Database'!$A:$R,18,0)</f>
        <v>#N/A</v>
      </c>
      <c r="S36" t="e">
        <f>VLOOKUP($A36,'A Main Database'!$A:$R,19,0)</f>
        <v>#N/A</v>
      </c>
      <c r="U36" t="str">
        <f>VLOOKUP(B36,'A Main Database'!A:A,1,0)</f>
        <v>officecleaningtochka.blogspot.com</v>
      </c>
      <c r="V36" t="e">
        <f>VLOOKUP(B36,'A Main Database'!I:I,1,0)</f>
        <v>#N/A</v>
      </c>
      <c r="W36" t="e">
        <f>VLOOKUP(B36,'A Main Database'!M:M,1,0)</f>
        <v>#N/A</v>
      </c>
      <c r="X36" t="e">
        <f>VLOOKUP(B36,'A Main Database'!P:P,1,0)</f>
        <v>#N/A</v>
      </c>
      <c r="Y36" t="s">
        <v>128</v>
      </c>
      <c r="Z36" t="s">
        <v>292</v>
      </c>
      <c r="AA36" t="str">
        <f t="shared" si="1"/>
        <v>officecleaningtochka.blogspot.com/submit</v>
      </c>
    </row>
    <row r="37" spans="1:27" x14ac:dyDescent="0.25">
      <c r="A37" t="str">
        <f t="shared" si="0"/>
        <v>ottawa.allofcanada.com/submit</v>
      </c>
      <c r="B37" t="s">
        <v>93</v>
      </c>
      <c r="C37" s="4" t="e">
        <f>VLOOKUP($A37,'A Main Database'!$A:$R,3,0)</f>
        <v>#N/A</v>
      </c>
      <c r="D37" t="e">
        <f>VLOOKUP($A37,'A Main Database'!$A:$R,4,0)</f>
        <v>#N/A</v>
      </c>
      <c r="E37" t="e">
        <f>VLOOKUP($A37,'A Main Database'!$A:$R,5,0)</f>
        <v>#N/A</v>
      </c>
      <c r="F37" t="e">
        <f>VLOOKUP($A37,'A Main Database'!$A:$R,6,0)</f>
        <v>#N/A</v>
      </c>
      <c r="G37" t="e">
        <f>VLOOKUP($A37,'A Main Database'!$A:$R,7,0)</f>
        <v>#N/A</v>
      </c>
      <c r="H37" t="e">
        <f>VLOOKUP($A37,'A Main Database'!$A:$R,8,0)</f>
        <v>#N/A</v>
      </c>
      <c r="I37" t="e">
        <f>VLOOKUP($A37,'A Main Database'!$A:$R,9,0)</f>
        <v>#N/A</v>
      </c>
      <c r="J37" t="e">
        <f>VLOOKUP($A37,'A Main Database'!$A:$R,10,0)</f>
        <v>#N/A</v>
      </c>
      <c r="K37" t="e">
        <f>VLOOKUP($A37,'A Main Database'!$A:$R,11,0)</f>
        <v>#N/A</v>
      </c>
      <c r="L37" t="e">
        <f>VLOOKUP($A37,'A Main Database'!$A:$R,12,0)</f>
        <v>#N/A</v>
      </c>
      <c r="M37" t="e">
        <f>VLOOKUP($A37,'A Main Database'!$A:$R,13,0)</f>
        <v>#N/A</v>
      </c>
      <c r="N37" t="e">
        <f>VLOOKUP($A37,'A Main Database'!$A:$R,14,0)</f>
        <v>#N/A</v>
      </c>
      <c r="O37" t="e">
        <f>VLOOKUP($A37,'A Main Database'!$A:$R,15,0)</f>
        <v>#N/A</v>
      </c>
      <c r="P37" s="6" t="e">
        <f>VLOOKUP($A37,'A Main Database'!$A:$R,16,0)</f>
        <v>#N/A</v>
      </c>
      <c r="Q37" t="e">
        <f>VLOOKUP($A37,'A Main Database'!$A:$R,17,0)</f>
        <v>#N/A</v>
      </c>
      <c r="R37" t="e">
        <f>VLOOKUP($A37,'A Main Database'!$A:$R,18,0)</f>
        <v>#N/A</v>
      </c>
      <c r="S37" t="e">
        <f>VLOOKUP($A37,'A Main Database'!$A:$R,19,0)</f>
        <v>#N/A</v>
      </c>
      <c r="U37" t="e">
        <f>VLOOKUP(B37,'A Main Database'!A:A,1,0)</f>
        <v>#N/A</v>
      </c>
      <c r="V37" t="e">
        <f>VLOOKUP(B37,'A Main Database'!I:I,1,0)</f>
        <v>#N/A</v>
      </c>
      <c r="W37" t="e">
        <f>VLOOKUP(B37,'A Main Database'!M:M,1,0)</f>
        <v>#N/A</v>
      </c>
      <c r="X37" t="e">
        <f>VLOOKUP(B37,'A Main Database'!P:P,1,0)</f>
        <v>#N/A</v>
      </c>
      <c r="Y37" t="s">
        <v>287</v>
      </c>
      <c r="Z37" t="s">
        <v>292</v>
      </c>
      <c r="AA37" t="str">
        <f t="shared" si="1"/>
        <v>ottawa.allofcanada.com/submit</v>
      </c>
    </row>
    <row r="38" spans="1:27" x14ac:dyDescent="0.25">
      <c r="A38" t="str">
        <f t="shared" si="0"/>
        <v>ottawa.cdncompanies.com/submit</v>
      </c>
      <c r="B38" t="s">
        <v>94</v>
      </c>
      <c r="C38" s="4" t="e">
        <f>VLOOKUP($A38,'A Main Database'!$A:$R,3,0)</f>
        <v>#N/A</v>
      </c>
      <c r="D38" t="e">
        <f>VLOOKUP($A38,'A Main Database'!$A:$R,4,0)</f>
        <v>#N/A</v>
      </c>
      <c r="E38" t="e">
        <f>VLOOKUP($A38,'A Main Database'!$A:$R,5,0)</f>
        <v>#N/A</v>
      </c>
      <c r="F38" t="e">
        <f>VLOOKUP($A38,'A Main Database'!$A:$R,6,0)</f>
        <v>#N/A</v>
      </c>
      <c r="G38" t="e">
        <f>VLOOKUP($A38,'A Main Database'!$A:$R,7,0)</f>
        <v>#N/A</v>
      </c>
      <c r="H38" t="e">
        <f>VLOOKUP($A38,'A Main Database'!$A:$R,8,0)</f>
        <v>#N/A</v>
      </c>
      <c r="I38" t="e">
        <f>VLOOKUP($A38,'A Main Database'!$A:$R,9,0)</f>
        <v>#N/A</v>
      </c>
      <c r="J38" t="e">
        <f>VLOOKUP($A38,'A Main Database'!$A:$R,10,0)</f>
        <v>#N/A</v>
      </c>
      <c r="K38" t="e">
        <f>VLOOKUP($A38,'A Main Database'!$A:$R,11,0)</f>
        <v>#N/A</v>
      </c>
      <c r="L38" t="e">
        <f>VLOOKUP($A38,'A Main Database'!$A:$R,12,0)</f>
        <v>#N/A</v>
      </c>
      <c r="M38" t="e">
        <f>VLOOKUP($A38,'A Main Database'!$A:$R,13,0)</f>
        <v>#N/A</v>
      </c>
      <c r="N38" t="e">
        <f>VLOOKUP($A38,'A Main Database'!$A:$R,14,0)</f>
        <v>#N/A</v>
      </c>
      <c r="O38" t="e">
        <f>VLOOKUP($A38,'A Main Database'!$A:$R,15,0)</f>
        <v>#N/A</v>
      </c>
      <c r="P38" s="6" t="e">
        <f>VLOOKUP($A38,'A Main Database'!$A:$R,16,0)</f>
        <v>#N/A</v>
      </c>
      <c r="Q38" t="e">
        <f>VLOOKUP($A38,'A Main Database'!$A:$R,17,0)</f>
        <v>#N/A</v>
      </c>
      <c r="R38" t="e">
        <f>VLOOKUP($A38,'A Main Database'!$A:$R,18,0)</f>
        <v>#N/A</v>
      </c>
      <c r="S38" t="e">
        <f>VLOOKUP($A38,'A Main Database'!$A:$R,19,0)</f>
        <v>#N/A</v>
      </c>
      <c r="U38" t="e">
        <f>VLOOKUP(B38,'A Main Database'!A:A,1,0)</f>
        <v>#N/A</v>
      </c>
      <c r="V38" t="e">
        <f>VLOOKUP(B38,'A Main Database'!I:I,1,0)</f>
        <v>#N/A</v>
      </c>
      <c r="W38" t="e">
        <f>VLOOKUP(B38,'A Main Database'!M:M,1,0)</f>
        <v>#N/A</v>
      </c>
      <c r="X38" t="e">
        <f>VLOOKUP(B38,'A Main Database'!P:P,1,0)</f>
        <v>#N/A</v>
      </c>
      <c r="Y38" t="s">
        <v>287</v>
      </c>
      <c r="Z38" t="s">
        <v>292</v>
      </c>
      <c r="AA38" t="str">
        <f t="shared" si="1"/>
        <v>ottawa.cdncompanies.com/submit</v>
      </c>
    </row>
    <row r="39" spans="1:27" x14ac:dyDescent="0.25">
      <c r="A39" t="str">
        <f t="shared" si="0"/>
        <v>ottawa-on.canada-stores.com/submit</v>
      </c>
      <c r="B39" t="s">
        <v>95</v>
      </c>
      <c r="C39" s="4" t="e">
        <f>VLOOKUP($A39,'A Main Database'!$A:$R,3,0)</f>
        <v>#N/A</v>
      </c>
      <c r="D39" t="e">
        <f>VLOOKUP($A39,'A Main Database'!$A:$R,4,0)</f>
        <v>#N/A</v>
      </c>
      <c r="E39" t="e">
        <f>VLOOKUP($A39,'A Main Database'!$A:$R,5,0)</f>
        <v>#N/A</v>
      </c>
      <c r="F39" t="e">
        <f>VLOOKUP($A39,'A Main Database'!$A:$R,6,0)</f>
        <v>#N/A</v>
      </c>
      <c r="G39" t="e">
        <f>VLOOKUP($A39,'A Main Database'!$A:$R,7,0)</f>
        <v>#N/A</v>
      </c>
      <c r="H39" t="e">
        <f>VLOOKUP($A39,'A Main Database'!$A:$R,8,0)</f>
        <v>#N/A</v>
      </c>
      <c r="I39" t="e">
        <f>VLOOKUP($A39,'A Main Database'!$A:$R,9,0)</f>
        <v>#N/A</v>
      </c>
      <c r="J39" t="e">
        <f>VLOOKUP($A39,'A Main Database'!$A:$R,10,0)</f>
        <v>#N/A</v>
      </c>
      <c r="K39" t="e">
        <f>VLOOKUP($A39,'A Main Database'!$A:$R,11,0)</f>
        <v>#N/A</v>
      </c>
      <c r="L39" t="e">
        <f>VLOOKUP($A39,'A Main Database'!$A:$R,12,0)</f>
        <v>#N/A</v>
      </c>
      <c r="M39" t="e">
        <f>VLOOKUP($A39,'A Main Database'!$A:$R,13,0)</f>
        <v>#N/A</v>
      </c>
      <c r="N39" t="e">
        <f>VLOOKUP($A39,'A Main Database'!$A:$R,14,0)</f>
        <v>#N/A</v>
      </c>
      <c r="O39" t="e">
        <f>VLOOKUP($A39,'A Main Database'!$A:$R,15,0)</f>
        <v>#N/A</v>
      </c>
      <c r="P39" s="6" t="e">
        <f>VLOOKUP($A39,'A Main Database'!$A:$R,16,0)</f>
        <v>#N/A</v>
      </c>
      <c r="Q39" t="e">
        <f>VLOOKUP($A39,'A Main Database'!$A:$R,17,0)</f>
        <v>#N/A</v>
      </c>
      <c r="R39" t="e">
        <f>VLOOKUP($A39,'A Main Database'!$A:$R,18,0)</f>
        <v>#N/A</v>
      </c>
      <c r="S39" t="e">
        <f>VLOOKUP($A39,'A Main Database'!$A:$R,19,0)</f>
        <v>#N/A</v>
      </c>
      <c r="U39" t="e">
        <f>VLOOKUP(B39,'A Main Database'!A:A,1,0)</f>
        <v>#N/A</v>
      </c>
      <c r="V39" t="e">
        <f>VLOOKUP(B39,'A Main Database'!I:I,1,0)</f>
        <v>#N/A</v>
      </c>
      <c r="W39" t="e">
        <f>VLOOKUP(B39,'A Main Database'!M:M,1,0)</f>
        <v>#N/A</v>
      </c>
      <c r="X39" t="e">
        <f>VLOOKUP(B39,'A Main Database'!P:P,1,0)</f>
        <v>#N/A</v>
      </c>
      <c r="Y39" t="s">
        <v>287</v>
      </c>
      <c r="Z39" t="s">
        <v>292</v>
      </c>
      <c r="AA39" t="str">
        <f t="shared" si="1"/>
        <v>ottawa-on.canada-stores.com/submit</v>
      </c>
    </row>
    <row r="40" spans="1:27" x14ac:dyDescent="0.25">
      <c r="A40" t="str">
        <f t="shared" si="0"/>
        <v>ottawa-on.canadiancontractorsnearme.com/submit</v>
      </c>
      <c r="B40" t="s">
        <v>96</v>
      </c>
      <c r="C40" s="4" t="e">
        <f>VLOOKUP($A40,'A Main Database'!$A:$R,3,0)</f>
        <v>#N/A</v>
      </c>
      <c r="D40" t="e">
        <f>VLOOKUP($A40,'A Main Database'!$A:$R,4,0)</f>
        <v>#N/A</v>
      </c>
      <c r="E40" t="e">
        <f>VLOOKUP($A40,'A Main Database'!$A:$R,5,0)</f>
        <v>#N/A</v>
      </c>
      <c r="F40" t="e">
        <f>VLOOKUP($A40,'A Main Database'!$A:$R,6,0)</f>
        <v>#N/A</v>
      </c>
      <c r="G40" t="e">
        <f>VLOOKUP($A40,'A Main Database'!$A:$R,7,0)</f>
        <v>#N/A</v>
      </c>
      <c r="H40" t="e">
        <f>VLOOKUP($A40,'A Main Database'!$A:$R,8,0)</f>
        <v>#N/A</v>
      </c>
      <c r="I40" t="e">
        <f>VLOOKUP($A40,'A Main Database'!$A:$R,9,0)</f>
        <v>#N/A</v>
      </c>
      <c r="J40" t="e">
        <f>VLOOKUP($A40,'A Main Database'!$A:$R,10,0)</f>
        <v>#N/A</v>
      </c>
      <c r="K40" t="e">
        <f>VLOOKUP($A40,'A Main Database'!$A:$R,11,0)</f>
        <v>#N/A</v>
      </c>
      <c r="L40" t="e">
        <f>VLOOKUP($A40,'A Main Database'!$A:$R,12,0)</f>
        <v>#N/A</v>
      </c>
      <c r="M40" t="e">
        <f>VLOOKUP($A40,'A Main Database'!$A:$R,13,0)</f>
        <v>#N/A</v>
      </c>
      <c r="N40" t="e">
        <f>VLOOKUP($A40,'A Main Database'!$A:$R,14,0)</f>
        <v>#N/A</v>
      </c>
      <c r="O40" t="e">
        <f>VLOOKUP($A40,'A Main Database'!$A:$R,15,0)</f>
        <v>#N/A</v>
      </c>
      <c r="P40" s="6" t="e">
        <f>VLOOKUP($A40,'A Main Database'!$A:$R,16,0)</f>
        <v>#N/A</v>
      </c>
      <c r="Q40" t="e">
        <f>VLOOKUP($A40,'A Main Database'!$A:$R,17,0)</f>
        <v>#N/A</v>
      </c>
      <c r="R40" t="e">
        <f>VLOOKUP($A40,'A Main Database'!$A:$R,18,0)</f>
        <v>#N/A</v>
      </c>
      <c r="S40" t="e">
        <f>VLOOKUP($A40,'A Main Database'!$A:$R,19,0)</f>
        <v>#N/A</v>
      </c>
      <c r="U40" t="e">
        <f>VLOOKUP(B40,'A Main Database'!A:A,1,0)</f>
        <v>#N/A</v>
      </c>
      <c r="V40" t="e">
        <f>VLOOKUP(B40,'A Main Database'!I:I,1,0)</f>
        <v>#N/A</v>
      </c>
      <c r="W40" t="e">
        <f>VLOOKUP(B40,'A Main Database'!M:M,1,0)</f>
        <v>#N/A</v>
      </c>
      <c r="X40" t="e">
        <f>VLOOKUP(B40,'A Main Database'!P:P,1,0)</f>
        <v>#N/A</v>
      </c>
      <c r="Y40" t="s">
        <v>287</v>
      </c>
      <c r="Z40" t="s">
        <v>292</v>
      </c>
      <c r="AA40" t="str">
        <f t="shared" si="1"/>
        <v>ottawa-on.canadiancontractorsnearme.com/submit</v>
      </c>
    </row>
    <row r="41" spans="1:27" x14ac:dyDescent="0.25">
      <c r="A41" t="str">
        <f t="shared" si="0"/>
        <v>www.cdnpages.ca/submit</v>
      </c>
      <c r="B41" t="s">
        <v>97</v>
      </c>
      <c r="C41" s="4" t="e">
        <f>VLOOKUP($A41,'A Main Database'!$A:$R,3,0)</f>
        <v>#N/A</v>
      </c>
      <c r="D41" t="e">
        <f>VLOOKUP($A41,'A Main Database'!$A:$R,4,0)</f>
        <v>#N/A</v>
      </c>
      <c r="E41" t="e">
        <f>VLOOKUP($A41,'A Main Database'!$A:$R,5,0)</f>
        <v>#N/A</v>
      </c>
      <c r="F41" t="e">
        <f>VLOOKUP($A41,'A Main Database'!$A:$R,6,0)</f>
        <v>#N/A</v>
      </c>
      <c r="G41" t="e">
        <f>VLOOKUP($A41,'A Main Database'!$A:$R,7,0)</f>
        <v>#N/A</v>
      </c>
      <c r="H41" t="e">
        <f>VLOOKUP($A41,'A Main Database'!$A:$R,8,0)</f>
        <v>#N/A</v>
      </c>
      <c r="I41" t="e">
        <f>VLOOKUP($A41,'A Main Database'!$A:$R,9,0)</f>
        <v>#N/A</v>
      </c>
      <c r="J41" t="e">
        <f>VLOOKUP($A41,'A Main Database'!$A:$R,10,0)</f>
        <v>#N/A</v>
      </c>
      <c r="K41" t="e">
        <f>VLOOKUP($A41,'A Main Database'!$A:$R,11,0)</f>
        <v>#N/A</v>
      </c>
      <c r="L41" t="e">
        <f>VLOOKUP($A41,'A Main Database'!$A:$R,12,0)</f>
        <v>#N/A</v>
      </c>
      <c r="M41" t="e">
        <f>VLOOKUP($A41,'A Main Database'!$A:$R,13,0)</f>
        <v>#N/A</v>
      </c>
      <c r="N41" t="e">
        <f>VLOOKUP($A41,'A Main Database'!$A:$R,14,0)</f>
        <v>#N/A</v>
      </c>
      <c r="O41" t="e">
        <f>VLOOKUP($A41,'A Main Database'!$A:$R,15,0)</f>
        <v>#N/A</v>
      </c>
      <c r="P41" s="6" t="e">
        <f>VLOOKUP($A41,'A Main Database'!$A:$R,16,0)</f>
        <v>#N/A</v>
      </c>
      <c r="Q41" t="e">
        <f>VLOOKUP($A41,'A Main Database'!$A:$R,17,0)</f>
        <v>#N/A</v>
      </c>
      <c r="R41" t="e">
        <f>VLOOKUP($A41,'A Main Database'!$A:$R,18,0)</f>
        <v>#N/A</v>
      </c>
      <c r="S41" t="e">
        <f>VLOOKUP($A41,'A Main Database'!$A:$R,19,0)</f>
        <v>#N/A</v>
      </c>
      <c r="U41" t="e">
        <f>VLOOKUP(B41,'A Main Database'!A:A,1,0)</f>
        <v>#N/A</v>
      </c>
      <c r="V41" t="e">
        <f>VLOOKUP(B41,'A Main Database'!I:I,1,0)</f>
        <v>#N/A</v>
      </c>
      <c r="W41" t="e">
        <f>VLOOKUP(B41,'A Main Database'!M:M,1,0)</f>
        <v>#N/A</v>
      </c>
      <c r="X41" t="e">
        <f>VLOOKUP(B41,'A Main Database'!P:P,1,0)</f>
        <v>#N/A</v>
      </c>
      <c r="Y41" t="s">
        <v>287</v>
      </c>
      <c r="Z41" t="s">
        <v>292</v>
      </c>
      <c r="AA41" t="str">
        <f t="shared" si="1"/>
        <v>www.cdnpages.ca/submit</v>
      </c>
    </row>
    <row r="42" spans="1:27" x14ac:dyDescent="0.25">
      <c r="A42" t="str">
        <f t="shared" si="0"/>
        <v>www.cleanyx.com/submit</v>
      </c>
      <c r="B42" t="s">
        <v>98</v>
      </c>
      <c r="C42" s="4" t="e">
        <f>VLOOKUP($A42,'A Main Database'!$A:$R,3,0)</f>
        <v>#N/A</v>
      </c>
      <c r="D42" t="e">
        <f>VLOOKUP($A42,'A Main Database'!$A:$R,4,0)</f>
        <v>#N/A</v>
      </c>
      <c r="E42" t="e">
        <f>VLOOKUP($A42,'A Main Database'!$A:$R,5,0)</f>
        <v>#N/A</v>
      </c>
      <c r="F42" t="e">
        <f>VLOOKUP($A42,'A Main Database'!$A:$R,6,0)</f>
        <v>#N/A</v>
      </c>
      <c r="G42" t="e">
        <f>VLOOKUP($A42,'A Main Database'!$A:$R,7,0)</f>
        <v>#N/A</v>
      </c>
      <c r="H42" t="e">
        <f>VLOOKUP($A42,'A Main Database'!$A:$R,8,0)</f>
        <v>#N/A</v>
      </c>
      <c r="I42" t="e">
        <f>VLOOKUP($A42,'A Main Database'!$A:$R,9,0)</f>
        <v>#N/A</v>
      </c>
      <c r="J42" t="e">
        <f>VLOOKUP($A42,'A Main Database'!$A:$R,10,0)</f>
        <v>#N/A</v>
      </c>
      <c r="K42" t="e">
        <f>VLOOKUP($A42,'A Main Database'!$A:$R,11,0)</f>
        <v>#N/A</v>
      </c>
      <c r="L42" t="e">
        <f>VLOOKUP($A42,'A Main Database'!$A:$R,12,0)</f>
        <v>#N/A</v>
      </c>
      <c r="M42" t="e">
        <f>VLOOKUP($A42,'A Main Database'!$A:$R,13,0)</f>
        <v>#N/A</v>
      </c>
      <c r="N42" t="e">
        <f>VLOOKUP($A42,'A Main Database'!$A:$R,14,0)</f>
        <v>#N/A</v>
      </c>
      <c r="O42" t="e">
        <f>VLOOKUP($A42,'A Main Database'!$A:$R,15,0)</f>
        <v>#N/A</v>
      </c>
      <c r="P42" s="6" t="e">
        <f>VLOOKUP($A42,'A Main Database'!$A:$R,16,0)</f>
        <v>#N/A</v>
      </c>
      <c r="Q42" t="e">
        <f>VLOOKUP($A42,'A Main Database'!$A:$R,17,0)</f>
        <v>#N/A</v>
      </c>
      <c r="R42" t="e">
        <f>VLOOKUP($A42,'A Main Database'!$A:$R,18,0)</f>
        <v>#N/A</v>
      </c>
      <c r="S42" t="e">
        <f>VLOOKUP($A42,'A Main Database'!$A:$R,19,0)</f>
        <v>#N/A</v>
      </c>
      <c r="U42" t="e">
        <f>VLOOKUP(B42,'A Main Database'!A:A,1,0)</f>
        <v>#N/A</v>
      </c>
      <c r="V42" t="e">
        <f>VLOOKUP(B42,'A Main Database'!I:I,1,0)</f>
        <v>#N/A</v>
      </c>
      <c r="W42" t="e">
        <f>VLOOKUP(B42,'A Main Database'!M:M,1,0)</f>
        <v>#N/A</v>
      </c>
      <c r="X42" t="e">
        <f>VLOOKUP(B42,'A Main Database'!P:P,1,0)</f>
        <v>#N/A</v>
      </c>
      <c r="Y42" t="s">
        <v>287</v>
      </c>
      <c r="Z42" t="s">
        <v>292</v>
      </c>
      <c r="AA42" t="str">
        <f t="shared" si="1"/>
        <v>www.cleanyx.com/submit</v>
      </c>
    </row>
    <row r="43" spans="1:27" x14ac:dyDescent="0.25">
      <c r="A43" t="str">
        <f t="shared" si="0"/>
        <v>www.emutop.net/submit</v>
      </c>
      <c r="B43" t="s">
        <v>99</v>
      </c>
      <c r="C43" s="4" t="e">
        <f>VLOOKUP($A43,'A Main Database'!$A:$R,3,0)</f>
        <v>#N/A</v>
      </c>
      <c r="D43" t="e">
        <f>VLOOKUP($A43,'A Main Database'!$A:$R,4,0)</f>
        <v>#N/A</v>
      </c>
      <c r="E43" t="e">
        <f>VLOOKUP($A43,'A Main Database'!$A:$R,5,0)</f>
        <v>#N/A</v>
      </c>
      <c r="F43" t="e">
        <f>VLOOKUP($A43,'A Main Database'!$A:$R,6,0)</f>
        <v>#N/A</v>
      </c>
      <c r="G43" t="e">
        <f>VLOOKUP($A43,'A Main Database'!$A:$R,7,0)</f>
        <v>#N/A</v>
      </c>
      <c r="H43" t="e">
        <f>VLOOKUP($A43,'A Main Database'!$A:$R,8,0)</f>
        <v>#N/A</v>
      </c>
      <c r="I43" t="e">
        <f>VLOOKUP($A43,'A Main Database'!$A:$R,9,0)</f>
        <v>#N/A</v>
      </c>
      <c r="J43" t="e">
        <f>VLOOKUP($A43,'A Main Database'!$A:$R,10,0)</f>
        <v>#N/A</v>
      </c>
      <c r="K43" t="e">
        <f>VLOOKUP($A43,'A Main Database'!$A:$R,11,0)</f>
        <v>#N/A</v>
      </c>
      <c r="L43" t="e">
        <f>VLOOKUP($A43,'A Main Database'!$A:$R,12,0)</f>
        <v>#N/A</v>
      </c>
      <c r="M43" t="e">
        <f>VLOOKUP($A43,'A Main Database'!$A:$R,13,0)</f>
        <v>#N/A</v>
      </c>
      <c r="N43" t="e">
        <f>VLOOKUP($A43,'A Main Database'!$A:$R,14,0)</f>
        <v>#N/A</v>
      </c>
      <c r="O43" t="e">
        <f>VLOOKUP($A43,'A Main Database'!$A:$R,15,0)</f>
        <v>#N/A</v>
      </c>
      <c r="P43" s="6" t="e">
        <f>VLOOKUP($A43,'A Main Database'!$A:$R,16,0)</f>
        <v>#N/A</v>
      </c>
      <c r="Q43" t="e">
        <f>VLOOKUP($A43,'A Main Database'!$A:$R,17,0)</f>
        <v>#N/A</v>
      </c>
      <c r="R43" t="e">
        <f>VLOOKUP($A43,'A Main Database'!$A:$R,18,0)</f>
        <v>#N/A</v>
      </c>
      <c r="S43" t="e">
        <f>VLOOKUP($A43,'A Main Database'!$A:$R,19,0)</f>
        <v>#N/A</v>
      </c>
      <c r="U43" t="e">
        <f>VLOOKUP(B43,'A Main Database'!A:A,1,0)</f>
        <v>#N/A</v>
      </c>
      <c r="V43" t="e">
        <f>VLOOKUP(B43,'A Main Database'!I:I,1,0)</f>
        <v>#N/A</v>
      </c>
      <c r="W43" t="e">
        <f>VLOOKUP(B43,'A Main Database'!M:M,1,0)</f>
        <v>#N/A</v>
      </c>
      <c r="X43" t="e">
        <f>VLOOKUP(B43,'A Main Database'!P:P,1,0)</f>
        <v>#N/A</v>
      </c>
      <c r="Y43" t="s">
        <v>287</v>
      </c>
      <c r="Z43" t="s">
        <v>292</v>
      </c>
      <c r="AA43" t="str">
        <f t="shared" si="1"/>
        <v>www.emutop.net/submit</v>
      </c>
    </row>
    <row r="44" spans="1:27" x14ac:dyDescent="0.25">
      <c r="A44" t="str">
        <f t="shared" si="0"/>
        <v>www.eqlic.com/submit</v>
      </c>
      <c r="B44" t="s">
        <v>100</v>
      </c>
      <c r="C44" s="4" t="e">
        <f>VLOOKUP($A44,'A Main Database'!$A:$R,3,0)</f>
        <v>#N/A</v>
      </c>
      <c r="D44" t="e">
        <f>VLOOKUP($A44,'A Main Database'!$A:$R,4,0)</f>
        <v>#N/A</v>
      </c>
      <c r="E44" t="e">
        <f>VLOOKUP($A44,'A Main Database'!$A:$R,5,0)</f>
        <v>#N/A</v>
      </c>
      <c r="F44" t="e">
        <f>VLOOKUP($A44,'A Main Database'!$A:$R,6,0)</f>
        <v>#N/A</v>
      </c>
      <c r="G44" t="e">
        <f>VLOOKUP($A44,'A Main Database'!$A:$R,7,0)</f>
        <v>#N/A</v>
      </c>
      <c r="H44" t="e">
        <f>VLOOKUP($A44,'A Main Database'!$A:$R,8,0)</f>
        <v>#N/A</v>
      </c>
      <c r="I44" t="e">
        <f>VLOOKUP($A44,'A Main Database'!$A:$R,9,0)</f>
        <v>#N/A</v>
      </c>
      <c r="J44" t="e">
        <f>VLOOKUP($A44,'A Main Database'!$A:$R,10,0)</f>
        <v>#N/A</v>
      </c>
      <c r="K44" t="e">
        <f>VLOOKUP($A44,'A Main Database'!$A:$R,11,0)</f>
        <v>#N/A</v>
      </c>
      <c r="L44" t="e">
        <f>VLOOKUP($A44,'A Main Database'!$A:$R,12,0)</f>
        <v>#N/A</v>
      </c>
      <c r="M44" t="e">
        <f>VLOOKUP($A44,'A Main Database'!$A:$R,13,0)</f>
        <v>#N/A</v>
      </c>
      <c r="N44" t="e">
        <f>VLOOKUP($A44,'A Main Database'!$A:$R,14,0)</f>
        <v>#N/A</v>
      </c>
      <c r="O44" t="e">
        <f>VLOOKUP($A44,'A Main Database'!$A:$R,15,0)</f>
        <v>#N/A</v>
      </c>
      <c r="P44" s="6" t="e">
        <f>VLOOKUP($A44,'A Main Database'!$A:$R,16,0)</f>
        <v>#N/A</v>
      </c>
      <c r="Q44" t="e">
        <f>VLOOKUP($A44,'A Main Database'!$A:$R,17,0)</f>
        <v>#N/A</v>
      </c>
      <c r="R44" t="e">
        <f>VLOOKUP($A44,'A Main Database'!$A:$R,18,0)</f>
        <v>#N/A</v>
      </c>
      <c r="S44" t="e">
        <f>VLOOKUP($A44,'A Main Database'!$A:$R,19,0)</f>
        <v>#N/A</v>
      </c>
      <c r="U44" t="e">
        <f>VLOOKUP(B44,'A Main Database'!A:A,1,0)</f>
        <v>#N/A</v>
      </c>
      <c r="V44" t="e">
        <f>VLOOKUP(B44,'A Main Database'!I:I,1,0)</f>
        <v>#N/A</v>
      </c>
      <c r="W44" t="e">
        <f>VLOOKUP(B44,'A Main Database'!M:M,1,0)</f>
        <v>#N/A</v>
      </c>
      <c r="X44" t="e">
        <f>VLOOKUP(B44,'A Main Database'!P:P,1,0)</f>
        <v>#N/A</v>
      </c>
      <c r="Y44" t="s">
        <v>287</v>
      </c>
      <c r="Z44" t="s">
        <v>292</v>
      </c>
      <c r="AA44" t="str">
        <f t="shared" si="1"/>
        <v>www.eqlic.com/submit</v>
      </c>
    </row>
    <row r="45" spans="1:27" x14ac:dyDescent="0.25">
      <c r="A45" t="str">
        <f t="shared" si="0"/>
        <v>www.fyple.ca/submit</v>
      </c>
      <c r="B45" t="s">
        <v>101</v>
      </c>
      <c r="C45" s="4" t="e">
        <f>VLOOKUP($A45,'A Main Database'!$A:$R,3,0)</f>
        <v>#N/A</v>
      </c>
      <c r="D45" t="e">
        <f>VLOOKUP($A45,'A Main Database'!$A:$R,4,0)</f>
        <v>#N/A</v>
      </c>
      <c r="E45" t="e">
        <f>VLOOKUP($A45,'A Main Database'!$A:$R,5,0)</f>
        <v>#N/A</v>
      </c>
      <c r="F45" t="e">
        <f>VLOOKUP($A45,'A Main Database'!$A:$R,6,0)</f>
        <v>#N/A</v>
      </c>
      <c r="G45" t="e">
        <f>VLOOKUP($A45,'A Main Database'!$A:$R,7,0)</f>
        <v>#N/A</v>
      </c>
      <c r="H45" t="e">
        <f>VLOOKUP($A45,'A Main Database'!$A:$R,8,0)</f>
        <v>#N/A</v>
      </c>
      <c r="I45" t="e">
        <f>VLOOKUP($A45,'A Main Database'!$A:$R,9,0)</f>
        <v>#N/A</v>
      </c>
      <c r="J45" t="e">
        <f>VLOOKUP($A45,'A Main Database'!$A:$R,10,0)</f>
        <v>#N/A</v>
      </c>
      <c r="K45" t="e">
        <f>VLOOKUP($A45,'A Main Database'!$A:$R,11,0)</f>
        <v>#N/A</v>
      </c>
      <c r="L45" t="e">
        <f>VLOOKUP($A45,'A Main Database'!$A:$R,12,0)</f>
        <v>#N/A</v>
      </c>
      <c r="M45" t="e">
        <f>VLOOKUP($A45,'A Main Database'!$A:$R,13,0)</f>
        <v>#N/A</v>
      </c>
      <c r="N45" t="e">
        <f>VLOOKUP($A45,'A Main Database'!$A:$R,14,0)</f>
        <v>#N/A</v>
      </c>
      <c r="O45" t="e">
        <f>VLOOKUP($A45,'A Main Database'!$A:$R,15,0)</f>
        <v>#N/A</v>
      </c>
      <c r="P45" s="6" t="e">
        <f>VLOOKUP($A45,'A Main Database'!$A:$R,16,0)</f>
        <v>#N/A</v>
      </c>
      <c r="Q45" t="e">
        <f>VLOOKUP($A45,'A Main Database'!$A:$R,17,0)</f>
        <v>#N/A</v>
      </c>
      <c r="R45" t="e">
        <f>VLOOKUP($A45,'A Main Database'!$A:$R,18,0)</f>
        <v>#N/A</v>
      </c>
      <c r="S45" t="e">
        <f>VLOOKUP($A45,'A Main Database'!$A:$R,19,0)</f>
        <v>#N/A</v>
      </c>
      <c r="U45" t="e">
        <f>VLOOKUP(B45,'A Main Database'!A:A,1,0)</f>
        <v>#N/A</v>
      </c>
      <c r="V45" t="e">
        <f>VLOOKUP(B45,'A Main Database'!I:I,1,0)</f>
        <v>#N/A</v>
      </c>
      <c r="W45" t="e">
        <f>VLOOKUP(B45,'A Main Database'!M:M,1,0)</f>
        <v>#N/A</v>
      </c>
      <c r="X45" t="e">
        <f>VLOOKUP(B45,'A Main Database'!P:P,1,0)</f>
        <v>#N/A</v>
      </c>
      <c r="Y45" t="s">
        <v>287</v>
      </c>
      <c r="Z45" t="s">
        <v>292</v>
      </c>
      <c r="AA45" t="str">
        <f t="shared" si="1"/>
        <v>www.fyple.ca/submit</v>
      </c>
    </row>
    <row r="46" spans="1:27" x14ac:dyDescent="0.25">
      <c r="A46" t="str">
        <f t="shared" si="0"/>
        <v>www.hisearch.today/submit</v>
      </c>
      <c r="B46" t="s">
        <v>102</v>
      </c>
      <c r="C46" s="4" t="e">
        <f>VLOOKUP($A46,'A Main Database'!$A:$R,3,0)</f>
        <v>#N/A</v>
      </c>
      <c r="D46" t="e">
        <f>VLOOKUP($A46,'A Main Database'!$A:$R,4,0)</f>
        <v>#N/A</v>
      </c>
      <c r="E46" t="e">
        <f>VLOOKUP($A46,'A Main Database'!$A:$R,5,0)</f>
        <v>#N/A</v>
      </c>
      <c r="F46" t="e">
        <f>VLOOKUP($A46,'A Main Database'!$A:$R,6,0)</f>
        <v>#N/A</v>
      </c>
      <c r="G46" t="e">
        <f>VLOOKUP($A46,'A Main Database'!$A:$R,7,0)</f>
        <v>#N/A</v>
      </c>
      <c r="H46" t="e">
        <f>VLOOKUP($A46,'A Main Database'!$A:$R,8,0)</f>
        <v>#N/A</v>
      </c>
      <c r="I46" t="e">
        <f>VLOOKUP($A46,'A Main Database'!$A:$R,9,0)</f>
        <v>#N/A</v>
      </c>
      <c r="J46" t="e">
        <f>VLOOKUP($A46,'A Main Database'!$A:$R,10,0)</f>
        <v>#N/A</v>
      </c>
      <c r="K46" t="e">
        <f>VLOOKUP($A46,'A Main Database'!$A:$R,11,0)</f>
        <v>#N/A</v>
      </c>
      <c r="L46" t="e">
        <f>VLOOKUP($A46,'A Main Database'!$A:$R,12,0)</f>
        <v>#N/A</v>
      </c>
      <c r="M46" t="e">
        <f>VLOOKUP($A46,'A Main Database'!$A:$R,13,0)</f>
        <v>#N/A</v>
      </c>
      <c r="N46" t="e">
        <f>VLOOKUP($A46,'A Main Database'!$A:$R,14,0)</f>
        <v>#N/A</v>
      </c>
      <c r="O46" t="e">
        <f>VLOOKUP($A46,'A Main Database'!$A:$R,15,0)</f>
        <v>#N/A</v>
      </c>
      <c r="P46" s="6" t="e">
        <f>VLOOKUP($A46,'A Main Database'!$A:$R,16,0)</f>
        <v>#N/A</v>
      </c>
      <c r="Q46" t="e">
        <f>VLOOKUP($A46,'A Main Database'!$A:$R,17,0)</f>
        <v>#N/A</v>
      </c>
      <c r="R46" t="e">
        <f>VLOOKUP($A46,'A Main Database'!$A:$R,18,0)</f>
        <v>#N/A</v>
      </c>
      <c r="S46" t="e">
        <f>VLOOKUP($A46,'A Main Database'!$A:$R,19,0)</f>
        <v>#N/A</v>
      </c>
      <c r="U46" t="e">
        <f>VLOOKUP(B46,'A Main Database'!A:A,1,0)</f>
        <v>#N/A</v>
      </c>
      <c r="V46" t="e">
        <f>VLOOKUP(B46,'A Main Database'!I:I,1,0)</f>
        <v>#N/A</v>
      </c>
      <c r="W46" t="e">
        <f>VLOOKUP(B46,'A Main Database'!M:M,1,0)</f>
        <v>#N/A</v>
      </c>
      <c r="X46" t="e">
        <f>VLOOKUP(B46,'A Main Database'!P:P,1,0)</f>
        <v>#N/A</v>
      </c>
      <c r="Y46" t="s">
        <v>287</v>
      </c>
      <c r="Z46" t="s">
        <v>292</v>
      </c>
      <c r="AA46" t="str">
        <f t="shared" si="1"/>
        <v>www.hisearch.today/submit</v>
      </c>
    </row>
    <row r="47" spans="1:27" x14ac:dyDescent="0.25">
      <c r="A47" t="str">
        <f t="shared" si="0"/>
        <v>www.ic.gc.ca/submit</v>
      </c>
      <c r="B47" t="s">
        <v>103</v>
      </c>
      <c r="C47" s="4" t="e">
        <f>VLOOKUP($A47,'A Main Database'!$A:$R,3,0)</f>
        <v>#N/A</v>
      </c>
      <c r="D47" t="e">
        <f>VLOOKUP($A47,'A Main Database'!$A:$R,4,0)</f>
        <v>#N/A</v>
      </c>
      <c r="E47" t="e">
        <f>VLOOKUP($A47,'A Main Database'!$A:$R,5,0)</f>
        <v>#N/A</v>
      </c>
      <c r="F47" t="e">
        <f>VLOOKUP($A47,'A Main Database'!$A:$R,6,0)</f>
        <v>#N/A</v>
      </c>
      <c r="G47" t="e">
        <f>VLOOKUP($A47,'A Main Database'!$A:$R,7,0)</f>
        <v>#N/A</v>
      </c>
      <c r="H47" t="e">
        <f>VLOOKUP($A47,'A Main Database'!$A:$R,8,0)</f>
        <v>#N/A</v>
      </c>
      <c r="I47" t="e">
        <f>VLOOKUP($A47,'A Main Database'!$A:$R,9,0)</f>
        <v>#N/A</v>
      </c>
      <c r="J47" t="e">
        <f>VLOOKUP($A47,'A Main Database'!$A:$R,10,0)</f>
        <v>#N/A</v>
      </c>
      <c r="K47" t="e">
        <f>VLOOKUP($A47,'A Main Database'!$A:$R,11,0)</f>
        <v>#N/A</v>
      </c>
      <c r="L47" t="e">
        <f>VLOOKUP($A47,'A Main Database'!$A:$R,12,0)</f>
        <v>#N/A</v>
      </c>
      <c r="M47" t="e">
        <f>VLOOKUP($A47,'A Main Database'!$A:$R,13,0)</f>
        <v>#N/A</v>
      </c>
      <c r="N47" t="e">
        <f>VLOOKUP($A47,'A Main Database'!$A:$R,14,0)</f>
        <v>#N/A</v>
      </c>
      <c r="O47" t="e">
        <f>VLOOKUP($A47,'A Main Database'!$A:$R,15,0)</f>
        <v>#N/A</v>
      </c>
      <c r="P47" s="6" t="e">
        <f>VLOOKUP($A47,'A Main Database'!$A:$R,16,0)</f>
        <v>#N/A</v>
      </c>
      <c r="Q47" t="e">
        <f>VLOOKUP($A47,'A Main Database'!$A:$R,17,0)</f>
        <v>#N/A</v>
      </c>
      <c r="R47" t="e">
        <f>VLOOKUP($A47,'A Main Database'!$A:$R,18,0)</f>
        <v>#N/A</v>
      </c>
      <c r="S47" t="e">
        <f>VLOOKUP($A47,'A Main Database'!$A:$R,19,0)</f>
        <v>#N/A</v>
      </c>
      <c r="U47" t="e">
        <f>VLOOKUP(B47,'A Main Database'!A:A,1,0)</f>
        <v>#N/A</v>
      </c>
      <c r="V47" t="e">
        <f>VLOOKUP(B47,'A Main Database'!I:I,1,0)</f>
        <v>#N/A</v>
      </c>
      <c r="W47" t="e">
        <f>VLOOKUP(B47,'A Main Database'!M:M,1,0)</f>
        <v>#N/A</v>
      </c>
      <c r="X47" t="e">
        <f>VLOOKUP(B47,'A Main Database'!P:P,1,0)</f>
        <v>#N/A</v>
      </c>
      <c r="Y47" t="s">
        <v>287</v>
      </c>
      <c r="Z47" t="s">
        <v>292</v>
      </c>
      <c r="AA47" t="str">
        <f t="shared" si="1"/>
        <v>www.ic.gc.ca/submit</v>
      </c>
    </row>
    <row r="48" spans="1:27" x14ac:dyDescent="0.25">
      <c r="A48" t="str">
        <f t="shared" si="0"/>
        <v>www.nexdu.com/submit</v>
      </c>
      <c r="B48" t="s">
        <v>104</v>
      </c>
      <c r="C48" s="4" t="e">
        <f>VLOOKUP($A48,'A Main Database'!$A:$R,3,0)</f>
        <v>#N/A</v>
      </c>
      <c r="D48" t="e">
        <f>VLOOKUP($A48,'A Main Database'!$A:$R,4,0)</f>
        <v>#N/A</v>
      </c>
      <c r="E48" t="e">
        <f>VLOOKUP($A48,'A Main Database'!$A:$R,5,0)</f>
        <v>#N/A</v>
      </c>
      <c r="F48" t="e">
        <f>VLOOKUP($A48,'A Main Database'!$A:$R,6,0)</f>
        <v>#N/A</v>
      </c>
      <c r="G48" t="e">
        <f>VLOOKUP($A48,'A Main Database'!$A:$R,7,0)</f>
        <v>#N/A</v>
      </c>
      <c r="H48" t="e">
        <f>VLOOKUP($A48,'A Main Database'!$A:$R,8,0)</f>
        <v>#N/A</v>
      </c>
      <c r="I48" t="e">
        <f>VLOOKUP($A48,'A Main Database'!$A:$R,9,0)</f>
        <v>#N/A</v>
      </c>
      <c r="J48" t="e">
        <f>VLOOKUP($A48,'A Main Database'!$A:$R,10,0)</f>
        <v>#N/A</v>
      </c>
      <c r="K48" t="e">
        <f>VLOOKUP($A48,'A Main Database'!$A:$R,11,0)</f>
        <v>#N/A</v>
      </c>
      <c r="L48" t="e">
        <f>VLOOKUP($A48,'A Main Database'!$A:$R,12,0)</f>
        <v>#N/A</v>
      </c>
      <c r="M48" t="e">
        <f>VLOOKUP($A48,'A Main Database'!$A:$R,13,0)</f>
        <v>#N/A</v>
      </c>
      <c r="N48" t="e">
        <f>VLOOKUP($A48,'A Main Database'!$A:$R,14,0)</f>
        <v>#N/A</v>
      </c>
      <c r="O48" t="e">
        <f>VLOOKUP($A48,'A Main Database'!$A:$R,15,0)</f>
        <v>#N/A</v>
      </c>
      <c r="P48" s="6" t="e">
        <f>VLOOKUP($A48,'A Main Database'!$A:$R,16,0)</f>
        <v>#N/A</v>
      </c>
      <c r="Q48" t="e">
        <f>VLOOKUP($A48,'A Main Database'!$A:$R,17,0)</f>
        <v>#N/A</v>
      </c>
      <c r="R48" t="e">
        <f>VLOOKUP($A48,'A Main Database'!$A:$R,18,0)</f>
        <v>#N/A</v>
      </c>
      <c r="S48" t="e">
        <f>VLOOKUP($A48,'A Main Database'!$A:$R,19,0)</f>
        <v>#N/A</v>
      </c>
      <c r="U48" t="e">
        <f>VLOOKUP(B48,'A Main Database'!A:A,1,0)</f>
        <v>#N/A</v>
      </c>
      <c r="V48" t="e">
        <f>VLOOKUP(B48,'A Main Database'!I:I,1,0)</f>
        <v>#N/A</v>
      </c>
      <c r="W48" t="e">
        <f>VLOOKUP(B48,'A Main Database'!M:M,1,0)</f>
        <v>#N/A</v>
      </c>
      <c r="X48" t="e">
        <f>VLOOKUP(B48,'A Main Database'!P:P,1,0)</f>
        <v>#N/A</v>
      </c>
      <c r="Y48" t="s">
        <v>287</v>
      </c>
      <c r="Z48" t="s">
        <v>292</v>
      </c>
      <c r="AA48" t="str">
        <f t="shared" si="1"/>
        <v>www.nexdu.com/submit</v>
      </c>
    </row>
    <row r="49" spans="1:27" x14ac:dyDescent="0.25">
      <c r="A49" t="str">
        <f t="shared" si="0"/>
        <v>www.ottawamove.com/submit</v>
      </c>
      <c r="B49" t="s">
        <v>105</v>
      </c>
      <c r="C49" s="4" t="e">
        <f>VLOOKUP($A49,'A Main Database'!$A:$R,3,0)</f>
        <v>#N/A</v>
      </c>
      <c r="D49" t="e">
        <f>VLOOKUP($A49,'A Main Database'!$A:$R,4,0)</f>
        <v>#N/A</v>
      </c>
      <c r="E49" t="e">
        <f>VLOOKUP($A49,'A Main Database'!$A:$R,5,0)</f>
        <v>#N/A</v>
      </c>
      <c r="F49" t="e">
        <f>VLOOKUP($A49,'A Main Database'!$A:$R,6,0)</f>
        <v>#N/A</v>
      </c>
      <c r="G49" t="e">
        <f>VLOOKUP($A49,'A Main Database'!$A:$R,7,0)</f>
        <v>#N/A</v>
      </c>
      <c r="H49" t="e">
        <f>VLOOKUP($A49,'A Main Database'!$A:$R,8,0)</f>
        <v>#N/A</v>
      </c>
      <c r="I49" t="e">
        <f>VLOOKUP($A49,'A Main Database'!$A:$R,9,0)</f>
        <v>#N/A</v>
      </c>
      <c r="J49" t="e">
        <f>VLOOKUP($A49,'A Main Database'!$A:$R,10,0)</f>
        <v>#N/A</v>
      </c>
      <c r="K49" t="e">
        <f>VLOOKUP($A49,'A Main Database'!$A:$R,11,0)</f>
        <v>#N/A</v>
      </c>
      <c r="L49" t="e">
        <f>VLOOKUP($A49,'A Main Database'!$A:$R,12,0)</f>
        <v>#N/A</v>
      </c>
      <c r="M49" t="e">
        <f>VLOOKUP($A49,'A Main Database'!$A:$R,13,0)</f>
        <v>#N/A</v>
      </c>
      <c r="N49" t="e">
        <f>VLOOKUP($A49,'A Main Database'!$A:$R,14,0)</f>
        <v>#N/A</v>
      </c>
      <c r="O49" t="e">
        <f>VLOOKUP($A49,'A Main Database'!$A:$R,15,0)</f>
        <v>#N/A</v>
      </c>
      <c r="P49" s="6" t="e">
        <f>VLOOKUP($A49,'A Main Database'!$A:$R,16,0)</f>
        <v>#N/A</v>
      </c>
      <c r="Q49" t="e">
        <f>VLOOKUP($A49,'A Main Database'!$A:$R,17,0)</f>
        <v>#N/A</v>
      </c>
      <c r="R49" t="e">
        <f>VLOOKUP($A49,'A Main Database'!$A:$R,18,0)</f>
        <v>#N/A</v>
      </c>
      <c r="S49" t="e">
        <f>VLOOKUP($A49,'A Main Database'!$A:$R,19,0)</f>
        <v>#N/A</v>
      </c>
      <c r="U49" t="e">
        <f>VLOOKUP(B49,'A Main Database'!A:A,1,0)</f>
        <v>#N/A</v>
      </c>
      <c r="V49" t="e">
        <f>VLOOKUP(B49,'A Main Database'!I:I,1,0)</f>
        <v>#N/A</v>
      </c>
      <c r="W49" t="e">
        <f>VLOOKUP(B49,'A Main Database'!M:M,1,0)</f>
        <v>#N/A</v>
      </c>
      <c r="X49" t="e">
        <f>VLOOKUP(B49,'A Main Database'!P:P,1,0)</f>
        <v>#N/A</v>
      </c>
      <c r="Y49" t="s">
        <v>287</v>
      </c>
      <c r="Z49" t="s">
        <v>292</v>
      </c>
      <c r="AA49" t="str">
        <f t="shared" si="1"/>
        <v>www.ottawamove.com/submit</v>
      </c>
    </row>
    <row r="50" spans="1:27" x14ac:dyDescent="0.25">
      <c r="A50" t="str">
        <f t="shared" si="0"/>
        <v>www.seekon.com/submit</v>
      </c>
      <c r="B50" t="s">
        <v>106</v>
      </c>
      <c r="C50" s="4" t="e">
        <f>VLOOKUP($A50,'A Main Database'!$A:$R,3,0)</f>
        <v>#N/A</v>
      </c>
      <c r="D50" t="e">
        <f>VLOOKUP($A50,'A Main Database'!$A:$R,4,0)</f>
        <v>#N/A</v>
      </c>
      <c r="E50" t="e">
        <f>VLOOKUP($A50,'A Main Database'!$A:$R,5,0)</f>
        <v>#N/A</v>
      </c>
      <c r="F50" t="e">
        <f>VLOOKUP($A50,'A Main Database'!$A:$R,6,0)</f>
        <v>#N/A</v>
      </c>
      <c r="G50" t="e">
        <f>VLOOKUP($A50,'A Main Database'!$A:$R,7,0)</f>
        <v>#N/A</v>
      </c>
      <c r="H50" t="e">
        <f>VLOOKUP($A50,'A Main Database'!$A:$R,8,0)</f>
        <v>#N/A</v>
      </c>
      <c r="I50" t="e">
        <f>VLOOKUP($A50,'A Main Database'!$A:$R,9,0)</f>
        <v>#N/A</v>
      </c>
      <c r="J50" t="e">
        <f>VLOOKUP($A50,'A Main Database'!$A:$R,10,0)</f>
        <v>#N/A</v>
      </c>
      <c r="K50" t="e">
        <f>VLOOKUP($A50,'A Main Database'!$A:$R,11,0)</f>
        <v>#N/A</v>
      </c>
      <c r="L50" t="e">
        <f>VLOOKUP($A50,'A Main Database'!$A:$R,12,0)</f>
        <v>#N/A</v>
      </c>
      <c r="M50" t="e">
        <f>VLOOKUP($A50,'A Main Database'!$A:$R,13,0)</f>
        <v>#N/A</v>
      </c>
      <c r="N50" t="e">
        <f>VLOOKUP($A50,'A Main Database'!$A:$R,14,0)</f>
        <v>#N/A</v>
      </c>
      <c r="O50" t="e">
        <f>VLOOKUP($A50,'A Main Database'!$A:$R,15,0)</f>
        <v>#N/A</v>
      </c>
      <c r="P50" s="6" t="e">
        <f>VLOOKUP($A50,'A Main Database'!$A:$R,16,0)</f>
        <v>#N/A</v>
      </c>
      <c r="Q50" t="e">
        <f>VLOOKUP($A50,'A Main Database'!$A:$R,17,0)</f>
        <v>#N/A</v>
      </c>
      <c r="R50" t="e">
        <f>VLOOKUP($A50,'A Main Database'!$A:$R,18,0)</f>
        <v>#N/A</v>
      </c>
      <c r="S50" t="e">
        <f>VLOOKUP($A50,'A Main Database'!$A:$R,19,0)</f>
        <v>#N/A</v>
      </c>
      <c r="U50" t="e">
        <f>VLOOKUP(B50,'A Main Database'!A:A,1,0)</f>
        <v>#N/A</v>
      </c>
      <c r="V50" t="e">
        <f>VLOOKUP(B50,'A Main Database'!I:I,1,0)</f>
        <v>#N/A</v>
      </c>
      <c r="W50" t="e">
        <f>VLOOKUP(B50,'A Main Database'!M:M,1,0)</f>
        <v>#N/A</v>
      </c>
      <c r="X50" t="e">
        <f>VLOOKUP(B50,'A Main Database'!P:P,1,0)</f>
        <v>#N/A</v>
      </c>
      <c r="Y50" t="s">
        <v>287</v>
      </c>
      <c r="Z50" t="s">
        <v>292</v>
      </c>
      <c r="AA50" t="str">
        <f t="shared" si="1"/>
        <v>www.seekon.com/submit</v>
      </c>
    </row>
    <row r="51" spans="1:27" x14ac:dyDescent="0.25">
      <c r="A51" t="str">
        <f t="shared" si="0"/>
        <v>www.sitedownrightnow.com/submit</v>
      </c>
      <c r="B51" t="s">
        <v>107</v>
      </c>
      <c r="C51" s="4" t="e">
        <f>VLOOKUP($A51,'A Main Database'!$A:$R,3,0)</f>
        <v>#N/A</v>
      </c>
      <c r="D51" t="e">
        <f>VLOOKUP($A51,'A Main Database'!$A:$R,4,0)</f>
        <v>#N/A</v>
      </c>
      <c r="E51" t="e">
        <f>VLOOKUP($A51,'A Main Database'!$A:$R,5,0)</f>
        <v>#N/A</v>
      </c>
      <c r="F51" t="e">
        <f>VLOOKUP($A51,'A Main Database'!$A:$R,6,0)</f>
        <v>#N/A</v>
      </c>
      <c r="G51" t="e">
        <f>VLOOKUP($A51,'A Main Database'!$A:$R,7,0)</f>
        <v>#N/A</v>
      </c>
      <c r="H51" t="e">
        <f>VLOOKUP($A51,'A Main Database'!$A:$R,8,0)</f>
        <v>#N/A</v>
      </c>
      <c r="I51" t="e">
        <f>VLOOKUP($A51,'A Main Database'!$A:$R,9,0)</f>
        <v>#N/A</v>
      </c>
      <c r="J51" t="e">
        <f>VLOOKUP($A51,'A Main Database'!$A:$R,10,0)</f>
        <v>#N/A</v>
      </c>
      <c r="K51" t="e">
        <f>VLOOKUP($A51,'A Main Database'!$A:$R,11,0)</f>
        <v>#N/A</v>
      </c>
      <c r="L51" t="e">
        <f>VLOOKUP($A51,'A Main Database'!$A:$R,12,0)</f>
        <v>#N/A</v>
      </c>
      <c r="M51" t="e">
        <f>VLOOKUP($A51,'A Main Database'!$A:$R,13,0)</f>
        <v>#N/A</v>
      </c>
      <c r="N51" t="e">
        <f>VLOOKUP($A51,'A Main Database'!$A:$R,14,0)</f>
        <v>#N/A</v>
      </c>
      <c r="O51" t="e">
        <f>VLOOKUP($A51,'A Main Database'!$A:$R,15,0)</f>
        <v>#N/A</v>
      </c>
      <c r="P51" s="6" t="e">
        <f>VLOOKUP($A51,'A Main Database'!$A:$R,16,0)</f>
        <v>#N/A</v>
      </c>
      <c r="Q51" t="e">
        <f>VLOOKUP($A51,'A Main Database'!$A:$R,17,0)</f>
        <v>#N/A</v>
      </c>
      <c r="R51" t="e">
        <f>VLOOKUP($A51,'A Main Database'!$A:$R,18,0)</f>
        <v>#N/A</v>
      </c>
      <c r="S51" t="e">
        <f>VLOOKUP($A51,'A Main Database'!$A:$R,19,0)</f>
        <v>#N/A</v>
      </c>
      <c r="U51" t="e">
        <f>VLOOKUP(B51,'A Main Database'!A:A,1,0)</f>
        <v>#N/A</v>
      </c>
      <c r="V51" t="e">
        <f>VLOOKUP(B51,'A Main Database'!I:I,1,0)</f>
        <v>#N/A</v>
      </c>
      <c r="W51" t="e">
        <f>VLOOKUP(B51,'A Main Database'!M:M,1,0)</f>
        <v>#N/A</v>
      </c>
      <c r="X51" t="e">
        <f>VLOOKUP(B51,'A Main Database'!P:P,1,0)</f>
        <v>#N/A</v>
      </c>
      <c r="Y51" t="s">
        <v>287</v>
      </c>
      <c r="Z51" t="s">
        <v>292</v>
      </c>
      <c r="AA51" t="str">
        <f t="shared" si="1"/>
        <v>www.sitedownrightnow.com/submit</v>
      </c>
    </row>
    <row r="52" spans="1:27" x14ac:dyDescent="0.25">
      <c r="A52" t="str">
        <f t="shared" si="0"/>
        <v>www.300blackbroth.com/submit</v>
      </c>
      <c r="B52" t="s">
        <v>130</v>
      </c>
      <c r="C52" s="4" t="e">
        <f>VLOOKUP($A52,'A Main Database'!$A:$R,3,0)</f>
        <v>#N/A</v>
      </c>
      <c r="D52" t="e">
        <f>VLOOKUP($A52,'A Main Database'!$A:$R,4,0)</f>
        <v>#N/A</v>
      </c>
      <c r="E52" t="e">
        <f>VLOOKUP($A52,'A Main Database'!$A:$R,5,0)</f>
        <v>#N/A</v>
      </c>
      <c r="F52" t="e">
        <f>VLOOKUP($A52,'A Main Database'!$A:$R,6,0)</f>
        <v>#N/A</v>
      </c>
      <c r="G52" t="e">
        <f>VLOOKUP($A52,'A Main Database'!$A:$R,7,0)</f>
        <v>#N/A</v>
      </c>
      <c r="H52" t="e">
        <f>VLOOKUP($A52,'A Main Database'!$A:$R,8,0)</f>
        <v>#N/A</v>
      </c>
      <c r="I52" t="e">
        <f>VLOOKUP($A52,'A Main Database'!$A:$R,9,0)</f>
        <v>#N/A</v>
      </c>
      <c r="J52" t="e">
        <f>VLOOKUP($A52,'A Main Database'!$A:$R,10,0)</f>
        <v>#N/A</v>
      </c>
      <c r="K52" t="e">
        <f>VLOOKUP($A52,'A Main Database'!$A:$R,11,0)</f>
        <v>#N/A</v>
      </c>
      <c r="L52" t="e">
        <f>VLOOKUP($A52,'A Main Database'!$A:$R,12,0)</f>
        <v>#N/A</v>
      </c>
      <c r="M52" t="e">
        <f>VLOOKUP($A52,'A Main Database'!$A:$R,13,0)</f>
        <v>#N/A</v>
      </c>
      <c r="N52" t="e">
        <f>VLOOKUP($A52,'A Main Database'!$A:$R,14,0)</f>
        <v>#N/A</v>
      </c>
      <c r="O52" t="e">
        <f>VLOOKUP($A52,'A Main Database'!$A:$R,15,0)</f>
        <v>#N/A</v>
      </c>
      <c r="P52" s="6" t="e">
        <f>VLOOKUP($A52,'A Main Database'!$A:$R,16,0)</f>
        <v>#N/A</v>
      </c>
      <c r="Q52" t="e">
        <f>VLOOKUP($A52,'A Main Database'!$A:$R,17,0)</f>
        <v>#N/A</v>
      </c>
      <c r="R52" t="e">
        <f>VLOOKUP($A52,'A Main Database'!$A:$R,18,0)</f>
        <v>#N/A</v>
      </c>
      <c r="S52" t="e">
        <f>VLOOKUP($A52,'A Main Database'!$A:$R,19,0)</f>
        <v>#N/A</v>
      </c>
      <c r="U52" t="e">
        <f>VLOOKUP(B52,'A Main Database'!A:A,1,0)</f>
        <v>#N/A</v>
      </c>
      <c r="V52" t="e">
        <f>VLOOKUP(B52,'A Main Database'!I:I,1,0)</f>
        <v>#N/A</v>
      </c>
      <c r="W52" t="e">
        <f>VLOOKUP(B52,'A Main Database'!M:M,1,0)</f>
        <v>#N/A</v>
      </c>
      <c r="X52" t="e">
        <f>VLOOKUP(B52,'A Main Database'!P:P,1,0)</f>
        <v>#N/A</v>
      </c>
      <c r="Y52" t="s">
        <v>287</v>
      </c>
      <c r="Z52" t="s">
        <v>292</v>
      </c>
      <c r="AA52" t="str">
        <f t="shared" si="1"/>
        <v>www.300blackbroth.com/submit</v>
      </c>
    </row>
    <row r="53" spans="1:27" x14ac:dyDescent="0.25">
      <c r="A53" t="str">
        <f t="shared" si="0"/>
        <v>www.aboutus.com/submit</v>
      </c>
      <c r="B53" t="s">
        <v>131</v>
      </c>
      <c r="C53" s="4" t="e">
        <f>VLOOKUP($A53,'A Main Database'!$A:$R,3,0)</f>
        <v>#N/A</v>
      </c>
      <c r="D53" t="e">
        <f>VLOOKUP($A53,'A Main Database'!$A:$R,4,0)</f>
        <v>#N/A</v>
      </c>
      <c r="E53" t="e">
        <f>VLOOKUP($A53,'A Main Database'!$A:$R,5,0)</f>
        <v>#N/A</v>
      </c>
      <c r="F53" t="e">
        <f>VLOOKUP($A53,'A Main Database'!$A:$R,6,0)</f>
        <v>#N/A</v>
      </c>
      <c r="G53" t="e">
        <f>VLOOKUP($A53,'A Main Database'!$A:$R,7,0)</f>
        <v>#N/A</v>
      </c>
      <c r="H53" t="e">
        <f>VLOOKUP($A53,'A Main Database'!$A:$R,8,0)</f>
        <v>#N/A</v>
      </c>
      <c r="I53" t="e">
        <f>VLOOKUP($A53,'A Main Database'!$A:$R,9,0)</f>
        <v>#N/A</v>
      </c>
      <c r="J53" t="e">
        <f>VLOOKUP($A53,'A Main Database'!$A:$R,10,0)</f>
        <v>#N/A</v>
      </c>
      <c r="K53" t="e">
        <f>VLOOKUP($A53,'A Main Database'!$A:$R,11,0)</f>
        <v>#N/A</v>
      </c>
      <c r="L53" t="e">
        <f>VLOOKUP($A53,'A Main Database'!$A:$R,12,0)</f>
        <v>#N/A</v>
      </c>
      <c r="M53" t="e">
        <f>VLOOKUP($A53,'A Main Database'!$A:$R,13,0)</f>
        <v>#N/A</v>
      </c>
      <c r="N53" t="e">
        <f>VLOOKUP($A53,'A Main Database'!$A:$R,14,0)</f>
        <v>#N/A</v>
      </c>
      <c r="O53" t="e">
        <f>VLOOKUP($A53,'A Main Database'!$A:$R,15,0)</f>
        <v>#N/A</v>
      </c>
      <c r="P53" s="6" t="e">
        <f>VLOOKUP($A53,'A Main Database'!$A:$R,16,0)</f>
        <v>#N/A</v>
      </c>
      <c r="Q53" t="e">
        <f>VLOOKUP($A53,'A Main Database'!$A:$R,17,0)</f>
        <v>#N/A</v>
      </c>
      <c r="R53" t="e">
        <f>VLOOKUP($A53,'A Main Database'!$A:$R,18,0)</f>
        <v>#N/A</v>
      </c>
      <c r="S53" t="e">
        <f>VLOOKUP($A53,'A Main Database'!$A:$R,19,0)</f>
        <v>#N/A</v>
      </c>
      <c r="U53" t="e">
        <f>VLOOKUP(B53,'A Main Database'!A:A,1,0)</f>
        <v>#N/A</v>
      </c>
      <c r="V53" t="e">
        <f>VLOOKUP(B53,'A Main Database'!I:I,1,0)</f>
        <v>#N/A</v>
      </c>
      <c r="W53" t="e">
        <f>VLOOKUP(B53,'A Main Database'!M:M,1,0)</f>
        <v>#N/A</v>
      </c>
      <c r="X53" t="e">
        <f>VLOOKUP(B53,'A Main Database'!P:P,1,0)</f>
        <v>#N/A</v>
      </c>
      <c r="Y53" t="s">
        <v>287</v>
      </c>
      <c r="Z53" t="s">
        <v>292</v>
      </c>
      <c r="AA53" t="str">
        <f t="shared" si="1"/>
        <v>www.aboutus.com/submit</v>
      </c>
    </row>
    <row r="54" spans="1:27" x14ac:dyDescent="0.25">
      <c r="A54" t="str">
        <f t="shared" si="0"/>
        <v>http://injoybusiness.co/submit</v>
      </c>
      <c r="B54" t="s">
        <v>132</v>
      </c>
      <c r="C54" s="4" t="e">
        <f>VLOOKUP($A54,'A Main Database'!$A:$R,3,0)</f>
        <v>#N/A</v>
      </c>
      <c r="D54" t="e">
        <f>VLOOKUP($A54,'A Main Database'!$A:$R,4,0)</f>
        <v>#N/A</v>
      </c>
      <c r="E54" t="e">
        <f>VLOOKUP($A54,'A Main Database'!$A:$R,5,0)</f>
        <v>#N/A</v>
      </c>
      <c r="F54" t="e">
        <f>VLOOKUP($A54,'A Main Database'!$A:$R,6,0)</f>
        <v>#N/A</v>
      </c>
      <c r="G54" t="e">
        <f>VLOOKUP($A54,'A Main Database'!$A:$R,7,0)</f>
        <v>#N/A</v>
      </c>
      <c r="H54" t="e">
        <f>VLOOKUP($A54,'A Main Database'!$A:$R,8,0)</f>
        <v>#N/A</v>
      </c>
      <c r="I54" t="e">
        <f>VLOOKUP($A54,'A Main Database'!$A:$R,9,0)</f>
        <v>#N/A</v>
      </c>
      <c r="J54" t="e">
        <f>VLOOKUP($A54,'A Main Database'!$A:$R,10,0)</f>
        <v>#N/A</v>
      </c>
      <c r="K54" t="e">
        <f>VLOOKUP($A54,'A Main Database'!$A:$R,11,0)</f>
        <v>#N/A</v>
      </c>
      <c r="L54" t="e">
        <f>VLOOKUP($A54,'A Main Database'!$A:$R,12,0)</f>
        <v>#N/A</v>
      </c>
      <c r="M54" t="e">
        <f>VLOOKUP($A54,'A Main Database'!$A:$R,13,0)</f>
        <v>#N/A</v>
      </c>
      <c r="N54" t="e">
        <f>VLOOKUP($A54,'A Main Database'!$A:$R,14,0)</f>
        <v>#N/A</v>
      </c>
      <c r="O54" t="e">
        <f>VLOOKUP($A54,'A Main Database'!$A:$R,15,0)</f>
        <v>#N/A</v>
      </c>
      <c r="P54" s="6" t="e">
        <f>VLOOKUP($A54,'A Main Database'!$A:$R,16,0)</f>
        <v>#N/A</v>
      </c>
      <c r="Q54" t="e">
        <f>VLOOKUP($A54,'A Main Database'!$A:$R,17,0)</f>
        <v>#N/A</v>
      </c>
      <c r="R54" t="e">
        <f>VLOOKUP($A54,'A Main Database'!$A:$R,18,0)</f>
        <v>#N/A</v>
      </c>
      <c r="S54" t="e">
        <f>VLOOKUP($A54,'A Main Database'!$A:$R,19,0)</f>
        <v>#N/A</v>
      </c>
      <c r="U54" t="e">
        <f>VLOOKUP(B54,'A Main Database'!A:A,1,0)</f>
        <v>#N/A</v>
      </c>
      <c r="V54" t="e">
        <f>VLOOKUP(B54,'A Main Database'!I:I,1,0)</f>
        <v>#N/A</v>
      </c>
      <c r="W54" t="e">
        <f>VLOOKUP(B54,'A Main Database'!M:M,1,0)</f>
        <v>#N/A</v>
      </c>
      <c r="X54" t="e">
        <f>VLOOKUP(B54,'A Main Database'!P:P,1,0)</f>
        <v>#N/A</v>
      </c>
      <c r="Y54" t="s">
        <v>287</v>
      </c>
      <c r="Z54" t="s">
        <v>292</v>
      </c>
      <c r="AA54" t="str">
        <f t="shared" si="1"/>
        <v>http://injoybusiness.co/submit</v>
      </c>
    </row>
    <row r="55" spans="1:27" x14ac:dyDescent="0.25">
      <c r="A55" t="str">
        <f t="shared" si="0"/>
        <v>https://bizfluent.com/submit</v>
      </c>
      <c r="B55" t="s">
        <v>133</v>
      </c>
      <c r="C55" s="4" t="e">
        <f>VLOOKUP($A55,'A Main Database'!$A:$R,3,0)</f>
        <v>#N/A</v>
      </c>
      <c r="D55" t="e">
        <f>VLOOKUP($A55,'A Main Database'!$A:$R,4,0)</f>
        <v>#N/A</v>
      </c>
      <c r="E55" t="e">
        <f>VLOOKUP($A55,'A Main Database'!$A:$R,5,0)</f>
        <v>#N/A</v>
      </c>
      <c r="F55" t="e">
        <f>VLOOKUP($A55,'A Main Database'!$A:$R,6,0)</f>
        <v>#N/A</v>
      </c>
      <c r="G55" t="e">
        <f>VLOOKUP($A55,'A Main Database'!$A:$R,7,0)</f>
        <v>#N/A</v>
      </c>
      <c r="H55" t="e">
        <f>VLOOKUP($A55,'A Main Database'!$A:$R,8,0)</f>
        <v>#N/A</v>
      </c>
      <c r="I55" t="e">
        <f>VLOOKUP($A55,'A Main Database'!$A:$R,9,0)</f>
        <v>#N/A</v>
      </c>
      <c r="J55" t="e">
        <f>VLOOKUP($A55,'A Main Database'!$A:$R,10,0)</f>
        <v>#N/A</v>
      </c>
      <c r="K55" t="e">
        <f>VLOOKUP($A55,'A Main Database'!$A:$R,11,0)</f>
        <v>#N/A</v>
      </c>
      <c r="L55" t="e">
        <f>VLOOKUP($A55,'A Main Database'!$A:$R,12,0)</f>
        <v>#N/A</v>
      </c>
      <c r="M55" t="e">
        <f>VLOOKUP($A55,'A Main Database'!$A:$R,13,0)</f>
        <v>#N/A</v>
      </c>
      <c r="N55" t="e">
        <f>VLOOKUP($A55,'A Main Database'!$A:$R,14,0)</f>
        <v>#N/A</v>
      </c>
      <c r="O55" t="e">
        <f>VLOOKUP($A55,'A Main Database'!$A:$R,15,0)</f>
        <v>#N/A</v>
      </c>
      <c r="P55" s="6" t="e">
        <f>VLOOKUP($A55,'A Main Database'!$A:$R,16,0)</f>
        <v>#N/A</v>
      </c>
      <c r="Q55" t="e">
        <f>VLOOKUP($A55,'A Main Database'!$A:$R,17,0)</f>
        <v>#N/A</v>
      </c>
      <c r="R55" t="e">
        <f>VLOOKUP($A55,'A Main Database'!$A:$R,18,0)</f>
        <v>#N/A</v>
      </c>
      <c r="S55" t="e">
        <f>VLOOKUP($A55,'A Main Database'!$A:$R,19,0)</f>
        <v>#N/A</v>
      </c>
      <c r="U55" t="e">
        <f>VLOOKUP(B55,'A Main Database'!A:A,1,0)</f>
        <v>#N/A</v>
      </c>
      <c r="V55" t="e">
        <f>VLOOKUP(B55,'A Main Database'!I:I,1,0)</f>
        <v>#N/A</v>
      </c>
      <c r="W55" t="e">
        <f>VLOOKUP(B55,'A Main Database'!M:M,1,0)</f>
        <v>#N/A</v>
      </c>
      <c r="X55" t="e">
        <f>VLOOKUP(B55,'A Main Database'!P:P,1,0)</f>
        <v>#N/A</v>
      </c>
      <c r="Y55" t="s">
        <v>287</v>
      </c>
      <c r="Z55" t="s">
        <v>292</v>
      </c>
      <c r="AA55" t="str">
        <f t="shared" si="1"/>
        <v>https://bizfluent.com/submit</v>
      </c>
    </row>
    <row r="56" spans="1:27" x14ac:dyDescent="0.25">
      <c r="A56" t="str">
        <f t="shared" si="0"/>
        <v>https://businessabc.ca/submit</v>
      </c>
      <c r="B56" t="s">
        <v>134</v>
      </c>
      <c r="C56" s="4" t="e">
        <f>VLOOKUP($A56,'A Main Database'!$A:$R,3,0)</f>
        <v>#N/A</v>
      </c>
      <c r="D56" t="e">
        <f>VLOOKUP($A56,'A Main Database'!$A:$R,4,0)</f>
        <v>#N/A</v>
      </c>
      <c r="E56" t="e">
        <f>VLOOKUP($A56,'A Main Database'!$A:$R,5,0)</f>
        <v>#N/A</v>
      </c>
      <c r="F56" t="e">
        <f>VLOOKUP($A56,'A Main Database'!$A:$R,6,0)</f>
        <v>#N/A</v>
      </c>
      <c r="G56" t="e">
        <f>VLOOKUP($A56,'A Main Database'!$A:$R,7,0)</f>
        <v>#N/A</v>
      </c>
      <c r="H56" t="e">
        <f>VLOOKUP($A56,'A Main Database'!$A:$R,8,0)</f>
        <v>#N/A</v>
      </c>
      <c r="I56" t="e">
        <f>VLOOKUP($A56,'A Main Database'!$A:$R,9,0)</f>
        <v>#N/A</v>
      </c>
      <c r="J56" t="e">
        <f>VLOOKUP($A56,'A Main Database'!$A:$R,10,0)</f>
        <v>#N/A</v>
      </c>
      <c r="K56" t="e">
        <f>VLOOKUP($A56,'A Main Database'!$A:$R,11,0)</f>
        <v>#N/A</v>
      </c>
      <c r="L56" t="e">
        <f>VLOOKUP($A56,'A Main Database'!$A:$R,12,0)</f>
        <v>#N/A</v>
      </c>
      <c r="M56" t="e">
        <f>VLOOKUP($A56,'A Main Database'!$A:$R,13,0)</f>
        <v>#N/A</v>
      </c>
      <c r="N56" t="e">
        <f>VLOOKUP($A56,'A Main Database'!$A:$R,14,0)</f>
        <v>#N/A</v>
      </c>
      <c r="O56" t="e">
        <f>VLOOKUP($A56,'A Main Database'!$A:$R,15,0)</f>
        <v>#N/A</v>
      </c>
      <c r="P56" s="6" t="e">
        <f>VLOOKUP($A56,'A Main Database'!$A:$R,16,0)</f>
        <v>#N/A</v>
      </c>
      <c r="Q56" t="e">
        <f>VLOOKUP($A56,'A Main Database'!$A:$R,17,0)</f>
        <v>#N/A</v>
      </c>
      <c r="R56" t="e">
        <f>VLOOKUP($A56,'A Main Database'!$A:$R,18,0)</f>
        <v>#N/A</v>
      </c>
      <c r="S56" t="e">
        <f>VLOOKUP($A56,'A Main Database'!$A:$R,19,0)</f>
        <v>#N/A</v>
      </c>
      <c r="U56" t="e">
        <f>VLOOKUP(B56,'A Main Database'!A:A,1,0)</f>
        <v>#N/A</v>
      </c>
      <c r="V56" t="e">
        <f>VLOOKUP(B56,'A Main Database'!I:I,1,0)</f>
        <v>#N/A</v>
      </c>
      <c r="W56" t="e">
        <f>VLOOKUP(B56,'A Main Database'!M:M,1,0)</f>
        <v>#N/A</v>
      </c>
      <c r="X56" t="e">
        <f>VLOOKUP(B56,'A Main Database'!P:P,1,0)</f>
        <v>#N/A</v>
      </c>
      <c r="Y56" t="s">
        <v>287</v>
      </c>
      <c r="Z56" t="s">
        <v>292</v>
      </c>
      <c r="AA56" t="str">
        <f t="shared" si="1"/>
        <v>https://businessabc.ca/submit</v>
      </c>
    </row>
    <row r="57" spans="1:27" x14ac:dyDescent="0.25">
      <c r="A57" t="str">
        <f t="shared" si="0"/>
        <v>http://canadaregistry.ca/submit</v>
      </c>
      <c r="B57" t="s">
        <v>135</v>
      </c>
      <c r="C57" s="4" t="e">
        <f>VLOOKUP($A57,'A Main Database'!$A:$R,3,0)</f>
        <v>#N/A</v>
      </c>
      <c r="D57" t="e">
        <f>VLOOKUP($A57,'A Main Database'!$A:$R,4,0)</f>
        <v>#N/A</v>
      </c>
      <c r="E57" t="e">
        <f>VLOOKUP($A57,'A Main Database'!$A:$R,5,0)</f>
        <v>#N/A</v>
      </c>
      <c r="F57" t="e">
        <f>VLOOKUP($A57,'A Main Database'!$A:$R,6,0)</f>
        <v>#N/A</v>
      </c>
      <c r="G57" t="e">
        <f>VLOOKUP($A57,'A Main Database'!$A:$R,7,0)</f>
        <v>#N/A</v>
      </c>
      <c r="H57" t="e">
        <f>VLOOKUP($A57,'A Main Database'!$A:$R,8,0)</f>
        <v>#N/A</v>
      </c>
      <c r="I57" t="e">
        <f>VLOOKUP($A57,'A Main Database'!$A:$R,9,0)</f>
        <v>#N/A</v>
      </c>
      <c r="J57" t="e">
        <f>VLOOKUP($A57,'A Main Database'!$A:$R,10,0)</f>
        <v>#N/A</v>
      </c>
      <c r="K57" t="e">
        <f>VLOOKUP($A57,'A Main Database'!$A:$R,11,0)</f>
        <v>#N/A</v>
      </c>
      <c r="L57" t="e">
        <f>VLOOKUP($A57,'A Main Database'!$A:$R,12,0)</f>
        <v>#N/A</v>
      </c>
      <c r="M57" t="e">
        <f>VLOOKUP($A57,'A Main Database'!$A:$R,13,0)</f>
        <v>#N/A</v>
      </c>
      <c r="N57" t="e">
        <f>VLOOKUP($A57,'A Main Database'!$A:$R,14,0)</f>
        <v>#N/A</v>
      </c>
      <c r="O57" t="e">
        <f>VLOOKUP($A57,'A Main Database'!$A:$R,15,0)</f>
        <v>#N/A</v>
      </c>
      <c r="P57" s="6" t="e">
        <f>VLOOKUP($A57,'A Main Database'!$A:$R,16,0)</f>
        <v>#N/A</v>
      </c>
      <c r="Q57" t="e">
        <f>VLOOKUP($A57,'A Main Database'!$A:$R,17,0)</f>
        <v>#N/A</v>
      </c>
      <c r="R57" t="e">
        <f>VLOOKUP($A57,'A Main Database'!$A:$R,18,0)</f>
        <v>#N/A</v>
      </c>
      <c r="S57" t="e">
        <f>VLOOKUP($A57,'A Main Database'!$A:$R,19,0)</f>
        <v>#N/A</v>
      </c>
      <c r="U57" t="e">
        <f>VLOOKUP(B57,'A Main Database'!A:A,1,0)</f>
        <v>#N/A</v>
      </c>
      <c r="V57" t="e">
        <f>VLOOKUP(B57,'A Main Database'!I:I,1,0)</f>
        <v>#N/A</v>
      </c>
      <c r="W57" t="e">
        <f>VLOOKUP(B57,'A Main Database'!M:M,1,0)</f>
        <v>#N/A</v>
      </c>
      <c r="X57" t="e">
        <f>VLOOKUP(B57,'A Main Database'!P:P,1,0)</f>
        <v>#N/A</v>
      </c>
      <c r="Y57" t="s">
        <v>287</v>
      </c>
      <c r="Z57" t="s">
        <v>292</v>
      </c>
      <c r="AA57" t="str">
        <f t="shared" si="1"/>
        <v>http://canadaregistry.ca/submit</v>
      </c>
    </row>
    <row r="58" spans="1:27" x14ac:dyDescent="0.25">
      <c r="A58" t="str">
        <f t="shared" si="0"/>
        <v>https://www.cleaningfranchiseebunwaru.blogspot.com/submit</v>
      </c>
      <c r="B58" t="s">
        <v>136</v>
      </c>
      <c r="C58" s="4" t="e">
        <f>VLOOKUP($A58,'A Main Database'!$A:$R,3,0)</f>
        <v>#N/A</v>
      </c>
      <c r="D58" t="e">
        <f>VLOOKUP($A58,'A Main Database'!$A:$R,4,0)</f>
        <v>#N/A</v>
      </c>
      <c r="E58" t="e">
        <f>VLOOKUP($A58,'A Main Database'!$A:$R,5,0)</f>
        <v>#N/A</v>
      </c>
      <c r="F58" t="e">
        <f>VLOOKUP($A58,'A Main Database'!$A:$R,6,0)</f>
        <v>#N/A</v>
      </c>
      <c r="G58" t="e">
        <f>VLOOKUP($A58,'A Main Database'!$A:$R,7,0)</f>
        <v>#N/A</v>
      </c>
      <c r="H58" t="e">
        <f>VLOOKUP($A58,'A Main Database'!$A:$R,8,0)</f>
        <v>#N/A</v>
      </c>
      <c r="I58" t="e">
        <f>VLOOKUP($A58,'A Main Database'!$A:$R,9,0)</f>
        <v>#N/A</v>
      </c>
      <c r="J58" t="e">
        <f>VLOOKUP($A58,'A Main Database'!$A:$R,10,0)</f>
        <v>#N/A</v>
      </c>
      <c r="K58" t="e">
        <f>VLOOKUP($A58,'A Main Database'!$A:$R,11,0)</f>
        <v>#N/A</v>
      </c>
      <c r="L58" t="e">
        <f>VLOOKUP($A58,'A Main Database'!$A:$R,12,0)</f>
        <v>#N/A</v>
      </c>
      <c r="M58" t="e">
        <f>VLOOKUP($A58,'A Main Database'!$A:$R,13,0)</f>
        <v>#N/A</v>
      </c>
      <c r="N58" t="e">
        <f>VLOOKUP($A58,'A Main Database'!$A:$R,14,0)</f>
        <v>#N/A</v>
      </c>
      <c r="O58" t="e">
        <f>VLOOKUP($A58,'A Main Database'!$A:$R,15,0)</f>
        <v>#N/A</v>
      </c>
      <c r="P58" s="6" t="e">
        <f>VLOOKUP($A58,'A Main Database'!$A:$R,16,0)</f>
        <v>#N/A</v>
      </c>
      <c r="Q58" t="e">
        <f>VLOOKUP($A58,'A Main Database'!$A:$R,17,0)</f>
        <v>#N/A</v>
      </c>
      <c r="R58" t="e">
        <f>VLOOKUP($A58,'A Main Database'!$A:$R,18,0)</f>
        <v>#N/A</v>
      </c>
      <c r="S58" t="e">
        <f>VLOOKUP($A58,'A Main Database'!$A:$R,19,0)</f>
        <v>#N/A</v>
      </c>
      <c r="U58" t="e">
        <f>VLOOKUP(B58,'A Main Database'!A:A,1,0)</f>
        <v>#N/A</v>
      </c>
      <c r="V58" t="e">
        <f>VLOOKUP(B58,'A Main Database'!I:I,1,0)</f>
        <v>#N/A</v>
      </c>
      <c r="W58" t="e">
        <f>VLOOKUP(B58,'A Main Database'!M:M,1,0)</f>
        <v>#N/A</v>
      </c>
      <c r="X58" t="e">
        <f>VLOOKUP(B58,'A Main Database'!P:P,1,0)</f>
        <v>#N/A</v>
      </c>
      <c r="Y58" t="s">
        <v>287</v>
      </c>
      <c r="Z58" t="s">
        <v>292</v>
      </c>
      <c r="AA58" t="str">
        <f t="shared" si="1"/>
        <v>https://www.cleaningfranchiseebunwaru.blogspot.com/submit</v>
      </c>
    </row>
    <row r="59" spans="1:27" x14ac:dyDescent="0.25">
      <c r="A59" t="str">
        <f t="shared" si="0"/>
        <v>https://www.cleaningfranchisemachifuna.blogspot.com/submit</v>
      </c>
      <c r="B59" t="s">
        <v>137</v>
      </c>
      <c r="C59" s="4" t="e">
        <f>VLOOKUP($A59,'A Main Database'!$A:$R,3,0)</f>
        <v>#N/A</v>
      </c>
      <c r="D59" t="e">
        <f>VLOOKUP($A59,'A Main Database'!$A:$R,4,0)</f>
        <v>#N/A</v>
      </c>
      <c r="E59" t="e">
        <f>VLOOKUP($A59,'A Main Database'!$A:$R,5,0)</f>
        <v>#N/A</v>
      </c>
      <c r="F59" t="e">
        <f>VLOOKUP($A59,'A Main Database'!$A:$R,6,0)</f>
        <v>#N/A</v>
      </c>
      <c r="G59" t="e">
        <f>VLOOKUP($A59,'A Main Database'!$A:$R,7,0)</f>
        <v>#N/A</v>
      </c>
      <c r="H59" t="e">
        <f>VLOOKUP($A59,'A Main Database'!$A:$R,8,0)</f>
        <v>#N/A</v>
      </c>
      <c r="I59" t="e">
        <f>VLOOKUP($A59,'A Main Database'!$A:$R,9,0)</f>
        <v>#N/A</v>
      </c>
      <c r="J59" t="e">
        <f>VLOOKUP($A59,'A Main Database'!$A:$R,10,0)</f>
        <v>#N/A</v>
      </c>
      <c r="K59" t="e">
        <f>VLOOKUP($A59,'A Main Database'!$A:$R,11,0)</f>
        <v>#N/A</v>
      </c>
      <c r="L59" t="e">
        <f>VLOOKUP($A59,'A Main Database'!$A:$R,12,0)</f>
        <v>#N/A</v>
      </c>
      <c r="M59" t="e">
        <f>VLOOKUP($A59,'A Main Database'!$A:$R,13,0)</f>
        <v>#N/A</v>
      </c>
      <c r="N59" t="e">
        <f>VLOOKUP($A59,'A Main Database'!$A:$R,14,0)</f>
        <v>#N/A</v>
      </c>
      <c r="O59" t="e">
        <f>VLOOKUP($A59,'A Main Database'!$A:$R,15,0)</f>
        <v>#N/A</v>
      </c>
      <c r="P59" s="6" t="e">
        <f>VLOOKUP($A59,'A Main Database'!$A:$R,16,0)</f>
        <v>#N/A</v>
      </c>
      <c r="Q59" t="e">
        <f>VLOOKUP($A59,'A Main Database'!$A:$R,17,0)</f>
        <v>#N/A</v>
      </c>
      <c r="R59" t="e">
        <f>VLOOKUP($A59,'A Main Database'!$A:$R,18,0)</f>
        <v>#N/A</v>
      </c>
      <c r="S59" t="e">
        <f>VLOOKUP($A59,'A Main Database'!$A:$R,19,0)</f>
        <v>#N/A</v>
      </c>
      <c r="U59" t="e">
        <f>VLOOKUP(B59,'A Main Database'!A:A,1,0)</f>
        <v>#N/A</v>
      </c>
      <c r="V59" t="e">
        <f>VLOOKUP(B59,'A Main Database'!I:I,1,0)</f>
        <v>#N/A</v>
      </c>
      <c r="W59" t="e">
        <f>VLOOKUP(B59,'A Main Database'!M:M,1,0)</f>
        <v>#N/A</v>
      </c>
      <c r="X59" t="e">
        <f>VLOOKUP(B59,'A Main Database'!P:P,1,0)</f>
        <v>#N/A</v>
      </c>
      <c r="Y59" t="s">
        <v>287</v>
      </c>
      <c r="Z59" t="s">
        <v>292</v>
      </c>
      <c r="AA59" t="str">
        <f t="shared" si="1"/>
        <v>https://www.cleaningfranchisemachifuna.blogspot.com/submit</v>
      </c>
    </row>
    <row r="60" spans="1:27" x14ac:dyDescent="0.25">
      <c r="A60" t="str">
        <f t="shared" si="0"/>
        <v>www.cleaningfranchisemoagen.blogspot.com/submit</v>
      </c>
      <c r="B60" t="s">
        <v>138</v>
      </c>
      <c r="C60" s="4" t="e">
        <f>VLOOKUP($A60,'A Main Database'!$A:$R,3,0)</f>
        <v>#N/A</v>
      </c>
      <c r="D60" t="e">
        <f>VLOOKUP($A60,'A Main Database'!$A:$R,4,0)</f>
        <v>#N/A</v>
      </c>
      <c r="E60" t="e">
        <f>VLOOKUP($A60,'A Main Database'!$A:$R,5,0)</f>
        <v>#N/A</v>
      </c>
      <c r="F60" t="e">
        <f>VLOOKUP($A60,'A Main Database'!$A:$R,6,0)</f>
        <v>#N/A</v>
      </c>
      <c r="G60" t="e">
        <f>VLOOKUP($A60,'A Main Database'!$A:$R,7,0)</f>
        <v>#N/A</v>
      </c>
      <c r="H60" t="e">
        <f>VLOOKUP($A60,'A Main Database'!$A:$R,8,0)</f>
        <v>#N/A</v>
      </c>
      <c r="I60" t="e">
        <f>VLOOKUP($A60,'A Main Database'!$A:$R,9,0)</f>
        <v>#N/A</v>
      </c>
      <c r="J60" t="e">
        <f>VLOOKUP($A60,'A Main Database'!$A:$R,10,0)</f>
        <v>#N/A</v>
      </c>
      <c r="K60" t="e">
        <f>VLOOKUP($A60,'A Main Database'!$A:$R,11,0)</f>
        <v>#N/A</v>
      </c>
      <c r="L60" t="e">
        <f>VLOOKUP($A60,'A Main Database'!$A:$R,12,0)</f>
        <v>#N/A</v>
      </c>
      <c r="M60" t="e">
        <f>VLOOKUP($A60,'A Main Database'!$A:$R,13,0)</f>
        <v>#N/A</v>
      </c>
      <c r="N60" t="e">
        <f>VLOOKUP($A60,'A Main Database'!$A:$R,14,0)</f>
        <v>#N/A</v>
      </c>
      <c r="O60" t="e">
        <f>VLOOKUP($A60,'A Main Database'!$A:$R,15,0)</f>
        <v>#N/A</v>
      </c>
      <c r="P60" s="6" t="e">
        <f>VLOOKUP($A60,'A Main Database'!$A:$R,16,0)</f>
        <v>#N/A</v>
      </c>
      <c r="Q60" t="e">
        <f>VLOOKUP($A60,'A Main Database'!$A:$R,17,0)</f>
        <v>#N/A</v>
      </c>
      <c r="R60" t="e">
        <f>VLOOKUP($A60,'A Main Database'!$A:$R,18,0)</f>
        <v>#N/A</v>
      </c>
      <c r="S60" t="e">
        <f>VLOOKUP($A60,'A Main Database'!$A:$R,19,0)</f>
        <v>#N/A</v>
      </c>
      <c r="U60" t="e">
        <f>VLOOKUP(B60,'A Main Database'!A:A,1,0)</f>
        <v>#N/A</v>
      </c>
      <c r="V60" t="e">
        <f>VLOOKUP(B60,'A Main Database'!I:I,1,0)</f>
        <v>#N/A</v>
      </c>
      <c r="W60" t="e">
        <f>VLOOKUP(B60,'A Main Database'!M:M,1,0)</f>
        <v>#N/A</v>
      </c>
      <c r="X60" t="e">
        <f>VLOOKUP(B60,'A Main Database'!P:P,1,0)</f>
        <v>#N/A</v>
      </c>
      <c r="Y60" t="s">
        <v>287</v>
      </c>
      <c r="Z60" t="s">
        <v>292</v>
      </c>
      <c r="AA60" t="str">
        <f t="shared" si="1"/>
        <v>www.cleaningfranchisemoagen.blogspot.com/submit</v>
      </c>
    </row>
    <row r="61" spans="1:27" x14ac:dyDescent="0.25">
      <c r="A61" t="str">
        <f t="shared" si="0"/>
        <v>www.cleaningfranchiseruzik.blogspot.com/submit</v>
      </c>
      <c r="B61" t="s">
        <v>139</v>
      </c>
      <c r="C61" s="4" t="e">
        <f>VLOOKUP($A61,'A Main Database'!$A:$R,3,0)</f>
        <v>#N/A</v>
      </c>
      <c r="D61" t="e">
        <f>VLOOKUP($A61,'A Main Database'!$A:$R,4,0)</f>
        <v>#N/A</v>
      </c>
      <c r="E61" t="e">
        <f>VLOOKUP($A61,'A Main Database'!$A:$R,5,0)</f>
        <v>#N/A</v>
      </c>
      <c r="F61" t="e">
        <f>VLOOKUP($A61,'A Main Database'!$A:$R,6,0)</f>
        <v>#N/A</v>
      </c>
      <c r="G61" t="e">
        <f>VLOOKUP($A61,'A Main Database'!$A:$R,7,0)</f>
        <v>#N/A</v>
      </c>
      <c r="H61" t="e">
        <f>VLOOKUP($A61,'A Main Database'!$A:$R,8,0)</f>
        <v>#N/A</v>
      </c>
      <c r="I61" t="e">
        <f>VLOOKUP($A61,'A Main Database'!$A:$R,9,0)</f>
        <v>#N/A</v>
      </c>
      <c r="J61" t="e">
        <f>VLOOKUP($A61,'A Main Database'!$A:$R,10,0)</f>
        <v>#N/A</v>
      </c>
      <c r="K61" t="e">
        <f>VLOOKUP($A61,'A Main Database'!$A:$R,11,0)</f>
        <v>#N/A</v>
      </c>
      <c r="L61" t="e">
        <f>VLOOKUP($A61,'A Main Database'!$A:$R,12,0)</f>
        <v>#N/A</v>
      </c>
      <c r="M61" t="e">
        <f>VLOOKUP($A61,'A Main Database'!$A:$R,13,0)</f>
        <v>#N/A</v>
      </c>
      <c r="N61" t="e">
        <f>VLOOKUP($A61,'A Main Database'!$A:$R,14,0)</f>
        <v>#N/A</v>
      </c>
      <c r="O61" t="e">
        <f>VLOOKUP($A61,'A Main Database'!$A:$R,15,0)</f>
        <v>#N/A</v>
      </c>
      <c r="P61" s="6" t="e">
        <f>VLOOKUP($A61,'A Main Database'!$A:$R,16,0)</f>
        <v>#N/A</v>
      </c>
      <c r="Q61" t="e">
        <f>VLOOKUP($A61,'A Main Database'!$A:$R,17,0)</f>
        <v>#N/A</v>
      </c>
      <c r="R61" t="e">
        <f>VLOOKUP($A61,'A Main Database'!$A:$R,18,0)</f>
        <v>#N/A</v>
      </c>
      <c r="S61" t="e">
        <f>VLOOKUP($A61,'A Main Database'!$A:$R,19,0)</f>
        <v>#N/A</v>
      </c>
      <c r="U61" t="e">
        <f>VLOOKUP(B61,'A Main Database'!A:A,1,0)</f>
        <v>#N/A</v>
      </c>
      <c r="V61" t="e">
        <f>VLOOKUP(B61,'A Main Database'!I:I,1,0)</f>
        <v>#N/A</v>
      </c>
      <c r="W61" t="e">
        <f>VLOOKUP(B61,'A Main Database'!M:M,1,0)</f>
        <v>#N/A</v>
      </c>
      <c r="X61" t="e">
        <f>VLOOKUP(B61,'A Main Database'!P:P,1,0)</f>
        <v>#N/A</v>
      </c>
      <c r="Y61" t="s">
        <v>287</v>
      </c>
      <c r="Z61" t="s">
        <v>292</v>
      </c>
      <c r="AA61" t="str">
        <f t="shared" si="1"/>
        <v>www.cleaningfranchiseruzik.blogspot.com/submit</v>
      </c>
    </row>
    <row r="62" spans="1:27" x14ac:dyDescent="0.25">
      <c r="A62" t="str">
        <f t="shared" si="0"/>
        <v>http://yudu.com/submit</v>
      </c>
      <c r="B62" t="s">
        <v>140</v>
      </c>
      <c r="C62" s="4" t="e">
        <f>VLOOKUP($A62,'A Main Database'!$A:$R,3,0)</f>
        <v>#N/A</v>
      </c>
      <c r="D62" t="e">
        <f>VLOOKUP($A62,'A Main Database'!$A:$R,4,0)</f>
        <v>#N/A</v>
      </c>
      <c r="E62" t="e">
        <f>VLOOKUP($A62,'A Main Database'!$A:$R,5,0)</f>
        <v>#N/A</v>
      </c>
      <c r="F62" t="e">
        <f>VLOOKUP($A62,'A Main Database'!$A:$R,6,0)</f>
        <v>#N/A</v>
      </c>
      <c r="G62" t="e">
        <f>VLOOKUP($A62,'A Main Database'!$A:$R,7,0)</f>
        <v>#N/A</v>
      </c>
      <c r="H62" t="e">
        <f>VLOOKUP($A62,'A Main Database'!$A:$R,8,0)</f>
        <v>#N/A</v>
      </c>
      <c r="I62" t="e">
        <f>VLOOKUP($A62,'A Main Database'!$A:$R,9,0)</f>
        <v>#N/A</v>
      </c>
      <c r="J62" t="e">
        <f>VLOOKUP($A62,'A Main Database'!$A:$R,10,0)</f>
        <v>#N/A</v>
      </c>
      <c r="K62" t="e">
        <f>VLOOKUP($A62,'A Main Database'!$A:$R,11,0)</f>
        <v>#N/A</v>
      </c>
      <c r="L62" t="e">
        <f>VLOOKUP($A62,'A Main Database'!$A:$R,12,0)</f>
        <v>#N/A</v>
      </c>
      <c r="M62" t="e">
        <f>VLOOKUP($A62,'A Main Database'!$A:$R,13,0)</f>
        <v>#N/A</v>
      </c>
      <c r="N62" t="e">
        <f>VLOOKUP($A62,'A Main Database'!$A:$R,14,0)</f>
        <v>#N/A</v>
      </c>
      <c r="O62" t="e">
        <f>VLOOKUP($A62,'A Main Database'!$A:$R,15,0)</f>
        <v>#N/A</v>
      </c>
      <c r="P62" s="6" t="e">
        <f>VLOOKUP($A62,'A Main Database'!$A:$R,16,0)</f>
        <v>#N/A</v>
      </c>
      <c r="Q62" t="e">
        <f>VLOOKUP($A62,'A Main Database'!$A:$R,17,0)</f>
        <v>#N/A</v>
      </c>
      <c r="R62" t="e">
        <f>VLOOKUP($A62,'A Main Database'!$A:$R,18,0)</f>
        <v>#N/A</v>
      </c>
      <c r="S62" t="e">
        <f>VLOOKUP($A62,'A Main Database'!$A:$R,19,0)</f>
        <v>#N/A</v>
      </c>
      <c r="U62" t="e">
        <f>VLOOKUP(B62,'A Main Database'!A:A,1,0)</f>
        <v>#N/A</v>
      </c>
      <c r="V62" t="e">
        <f>VLOOKUP(B62,'A Main Database'!I:I,1,0)</f>
        <v>#N/A</v>
      </c>
      <c r="W62" t="e">
        <f>VLOOKUP(B62,'A Main Database'!M:M,1,0)</f>
        <v>#N/A</v>
      </c>
      <c r="X62" t="e">
        <f>VLOOKUP(B62,'A Main Database'!P:P,1,0)</f>
        <v>#N/A</v>
      </c>
      <c r="Y62" t="s">
        <v>287</v>
      </c>
      <c r="Z62" t="s">
        <v>292</v>
      </c>
      <c r="AA62" t="str">
        <f t="shared" si="1"/>
        <v>http://yudu.com/submit</v>
      </c>
    </row>
    <row r="63" spans="1:27" x14ac:dyDescent="0.25">
      <c r="A63" t="str">
        <f t="shared" si="0"/>
        <v>https://hubspot.com/submit</v>
      </c>
      <c r="B63" t="s">
        <v>141</v>
      </c>
      <c r="C63" s="4" t="e">
        <f>VLOOKUP($A63,'A Main Database'!$A:$R,3,0)</f>
        <v>#N/A</v>
      </c>
      <c r="D63" t="e">
        <f>VLOOKUP($A63,'A Main Database'!$A:$R,4,0)</f>
        <v>#N/A</v>
      </c>
      <c r="E63" t="e">
        <f>VLOOKUP($A63,'A Main Database'!$A:$R,5,0)</f>
        <v>#N/A</v>
      </c>
      <c r="F63" t="e">
        <f>VLOOKUP($A63,'A Main Database'!$A:$R,6,0)</f>
        <v>#N/A</v>
      </c>
      <c r="G63" t="e">
        <f>VLOOKUP($A63,'A Main Database'!$A:$R,7,0)</f>
        <v>#N/A</v>
      </c>
      <c r="H63" t="e">
        <f>VLOOKUP($A63,'A Main Database'!$A:$R,8,0)</f>
        <v>#N/A</v>
      </c>
      <c r="I63" t="e">
        <f>VLOOKUP($A63,'A Main Database'!$A:$R,9,0)</f>
        <v>#N/A</v>
      </c>
      <c r="J63" t="e">
        <f>VLOOKUP($A63,'A Main Database'!$A:$R,10,0)</f>
        <v>#N/A</v>
      </c>
      <c r="K63" t="e">
        <f>VLOOKUP($A63,'A Main Database'!$A:$R,11,0)</f>
        <v>#N/A</v>
      </c>
      <c r="L63" t="e">
        <f>VLOOKUP($A63,'A Main Database'!$A:$R,12,0)</f>
        <v>#N/A</v>
      </c>
      <c r="M63" t="e">
        <f>VLOOKUP($A63,'A Main Database'!$A:$R,13,0)</f>
        <v>#N/A</v>
      </c>
      <c r="N63" t="e">
        <f>VLOOKUP($A63,'A Main Database'!$A:$R,14,0)</f>
        <v>#N/A</v>
      </c>
      <c r="O63" t="e">
        <f>VLOOKUP($A63,'A Main Database'!$A:$R,15,0)</f>
        <v>#N/A</v>
      </c>
      <c r="P63" s="6" t="e">
        <f>VLOOKUP($A63,'A Main Database'!$A:$R,16,0)</f>
        <v>#N/A</v>
      </c>
      <c r="Q63" t="e">
        <f>VLOOKUP($A63,'A Main Database'!$A:$R,17,0)</f>
        <v>#N/A</v>
      </c>
      <c r="R63" t="e">
        <f>VLOOKUP($A63,'A Main Database'!$A:$R,18,0)</f>
        <v>#N/A</v>
      </c>
      <c r="S63" t="e">
        <f>VLOOKUP($A63,'A Main Database'!$A:$R,19,0)</f>
        <v>#N/A</v>
      </c>
      <c r="U63" t="e">
        <f>VLOOKUP(B63,'A Main Database'!A:A,1,0)</f>
        <v>#N/A</v>
      </c>
      <c r="V63" t="e">
        <f>VLOOKUP(B63,'A Main Database'!I:I,1,0)</f>
        <v>#N/A</v>
      </c>
      <c r="W63" t="e">
        <f>VLOOKUP(B63,'A Main Database'!M:M,1,0)</f>
        <v>#N/A</v>
      </c>
      <c r="X63" t="e">
        <f>VLOOKUP(B63,'A Main Database'!P:P,1,0)</f>
        <v>#N/A</v>
      </c>
      <c r="Y63" t="s">
        <v>287</v>
      </c>
      <c r="Z63" t="s">
        <v>292</v>
      </c>
      <c r="AA63" t="str">
        <f t="shared" si="1"/>
        <v>https://hubspot.com/submit</v>
      </c>
    </row>
    <row r="64" spans="1:27" x14ac:dyDescent="0.25">
      <c r="A64" t="str">
        <f t="shared" si="0"/>
        <v>https://justlanded.com/submit</v>
      </c>
      <c r="B64" t="s">
        <v>142</v>
      </c>
      <c r="C64" s="4" t="e">
        <f>VLOOKUP($A64,'A Main Database'!$A:$R,3,0)</f>
        <v>#N/A</v>
      </c>
      <c r="D64" t="e">
        <f>VLOOKUP($A64,'A Main Database'!$A:$R,4,0)</f>
        <v>#N/A</v>
      </c>
      <c r="E64" t="e">
        <f>VLOOKUP($A64,'A Main Database'!$A:$R,5,0)</f>
        <v>#N/A</v>
      </c>
      <c r="F64" t="e">
        <f>VLOOKUP($A64,'A Main Database'!$A:$R,6,0)</f>
        <v>#N/A</v>
      </c>
      <c r="G64" t="e">
        <f>VLOOKUP($A64,'A Main Database'!$A:$R,7,0)</f>
        <v>#N/A</v>
      </c>
      <c r="H64" t="e">
        <f>VLOOKUP($A64,'A Main Database'!$A:$R,8,0)</f>
        <v>#N/A</v>
      </c>
      <c r="I64" t="e">
        <f>VLOOKUP($A64,'A Main Database'!$A:$R,9,0)</f>
        <v>#N/A</v>
      </c>
      <c r="J64" t="e">
        <f>VLOOKUP($A64,'A Main Database'!$A:$R,10,0)</f>
        <v>#N/A</v>
      </c>
      <c r="K64" t="e">
        <f>VLOOKUP($A64,'A Main Database'!$A:$R,11,0)</f>
        <v>#N/A</v>
      </c>
      <c r="L64" t="e">
        <f>VLOOKUP($A64,'A Main Database'!$A:$R,12,0)</f>
        <v>#N/A</v>
      </c>
      <c r="M64" t="e">
        <f>VLOOKUP($A64,'A Main Database'!$A:$R,13,0)</f>
        <v>#N/A</v>
      </c>
      <c r="N64" t="e">
        <f>VLOOKUP($A64,'A Main Database'!$A:$R,14,0)</f>
        <v>#N/A</v>
      </c>
      <c r="O64" t="e">
        <f>VLOOKUP($A64,'A Main Database'!$A:$R,15,0)</f>
        <v>#N/A</v>
      </c>
      <c r="P64" s="6" t="e">
        <f>VLOOKUP($A64,'A Main Database'!$A:$R,16,0)</f>
        <v>#N/A</v>
      </c>
      <c r="Q64" t="e">
        <f>VLOOKUP($A64,'A Main Database'!$A:$R,17,0)</f>
        <v>#N/A</v>
      </c>
      <c r="R64" t="e">
        <f>VLOOKUP($A64,'A Main Database'!$A:$R,18,0)</f>
        <v>#N/A</v>
      </c>
      <c r="S64" t="e">
        <f>VLOOKUP($A64,'A Main Database'!$A:$R,19,0)</f>
        <v>#N/A</v>
      </c>
      <c r="U64" t="e">
        <f>VLOOKUP(B64,'A Main Database'!A:A,1,0)</f>
        <v>#N/A</v>
      </c>
      <c r="V64" t="e">
        <f>VLOOKUP(B64,'A Main Database'!I:I,1,0)</f>
        <v>#N/A</v>
      </c>
      <c r="W64" t="e">
        <f>VLOOKUP(B64,'A Main Database'!M:M,1,0)</f>
        <v>#N/A</v>
      </c>
      <c r="X64" t="e">
        <f>VLOOKUP(B64,'A Main Database'!P:P,1,0)</f>
        <v>#N/A</v>
      </c>
      <c r="Y64" t="s">
        <v>287</v>
      </c>
      <c r="Z64" t="s">
        <v>292</v>
      </c>
      <c r="AA64" t="str">
        <f t="shared" si="1"/>
        <v>https://justlanded.com/submit</v>
      </c>
    </row>
    <row r="65" spans="1:27" x14ac:dyDescent="0.25">
      <c r="A65" t="str">
        <f t="shared" si="0"/>
        <v>http://emprendimientosros.com/submit</v>
      </c>
      <c r="B65" t="s">
        <v>143</v>
      </c>
      <c r="C65" s="4" t="e">
        <f>VLOOKUP($A65,'A Main Database'!$A:$R,3,0)</f>
        <v>#N/A</v>
      </c>
      <c r="D65" t="e">
        <f>VLOOKUP($A65,'A Main Database'!$A:$R,4,0)</f>
        <v>#N/A</v>
      </c>
      <c r="E65" t="e">
        <f>VLOOKUP($A65,'A Main Database'!$A:$R,5,0)</f>
        <v>#N/A</v>
      </c>
      <c r="F65" t="e">
        <f>VLOOKUP($A65,'A Main Database'!$A:$R,6,0)</f>
        <v>#N/A</v>
      </c>
      <c r="G65" t="e">
        <f>VLOOKUP($A65,'A Main Database'!$A:$R,7,0)</f>
        <v>#N/A</v>
      </c>
      <c r="H65" t="e">
        <f>VLOOKUP($A65,'A Main Database'!$A:$R,8,0)</f>
        <v>#N/A</v>
      </c>
      <c r="I65" t="e">
        <f>VLOOKUP($A65,'A Main Database'!$A:$R,9,0)</f>
        <v>#N/A</v>
      </c>
      <c r="J65" t="e">
        <f>VLOOKUP($A65,'A Main Database'!$A:$R,10,0)</f>
        <v>#N/A</v>
      </c>
      <c r="K65" t="e">
        <f>VLOOKUP($A65,'A Main Database'!$A:$R,11,0)</f>
        <v>#N/A</v>
      </c>
      <c r="L65" t="e">
        <f>VLOOKUP($A65,'A Main Database'!$A:$R,12,0)</f>
        <v>#N/A</v>
      </c>
      <c r="M65" t="e">
        <f>VLOOKUP($A65,'A Main Database'!$A:$R,13,0)</f>
        <v>#N/A</v>
      </c>
      <c r="N65" t="e">
        <f>VLOOKUP($A65,'A Main Database'!$A:$R,14,0)</f>
        <v>#N/A</v>
      </c>
      <c r="O65" t="e">
        <f>VLOOKUP($A65,'A Main Database'!$A:$R,15,0)</f>
        <v>#N/A</v>
      </c>
      <c r="P65" s="6" t="e">
        <f>VLOOKUP($A65,'A Main Database'!$A:$R,16,0)</f>
        <v>#N/A</v>
      </c>
      <c r="Q65" t="e">
        <f>VLOOKUP($A65,'A Main Database'!$A:$R,17,0)</f>
        <v>#N/A</v>
      </c>
      <c r="R65" t="e">
        <f>VLOOKUP($A65,'A Main Database'!$A:$R,18,0)</f>
        <v>#N/A</v>
      </c>
      <c r="S65" t="e">
        <f>VLOOKUP($A65,'A Main Database'!$A:$R,19,0)</f>
        <v>#N/A</v>
      </c>
      <c r="U65" t="e">
        <f>VLOOKUP(B65,'A Main Database'!A:A,1,0)</f>
        <v>#N/A</v>
      </c>
      <c r="V65" t="e">
        <f>VLOOKUP(B65,'A Main Database'!I:I,1,0)</f>
        <v>#N/A</v>
      </c>
      <c r="W65" t="e">
        <f>VLOOKUP(B65,'A Main Database'!M:M,1,0)</f>
        <v>#N/A</v>
      </c>
      <c r="X65" t="e">
        <f>VLOOKUP(B65,'A Main Database'!P:P,1,0)</f>
        <v>#N/A</v>
      </c>
      <c r="Y65" t="s">
        <v>287</v>
      </c>
      <c r="Z65" t="s">
        <v>292</v>
      </c>
      <c r="AA65" t="str">
        <f t="shared" si="1"/>
        <v>http://emprendimientosros.com/submit</v>
      </c>
    </row>
    <row r="66" spans="1:27" x14ac:dyDescent="0.25">
      <c r="A66" t="str">
        <f t="shared" si="0"/>
        <v>https://www.franchise-business.net/submit</v>
      </c>
      <c r="B66" t="s">
        <v>144</v>
      </c>
      <c r="C66" s="4" t="e">
        <f>VLOOKUP($A66,'A Main Database'!$A:$R,3,0)</f>
        <v>#N/A</v>
      </c>
      <c r="D66" t="e">
        <f>VLOOKUP($A66,'A Main Database'!$A:$R,4,0)</f>
        <v>#N/A</v>
      </c>
      <c r="E66" t="e">
        <f>VLOOKUP($A66,'A Main Database'!$A:$R,5,0)</f>
        <v>#N/A</v>
      </c>
      <c r="F66" t="e">
        <f>VLOOKUP($A66,'A Main Database'!$A:$R,6,0)</f>
        <v>#N/A</v>
      </c>
      <c r="G66" t="e">
        <f>VLOOKUP($A66,'A Main Database'!$A:$R,7,0)</f>
        <v>#N/A</v>
      </c>
      <c r="H66" t="e">
        <f>VLOOKUP($A66,'A Main Database'!$A:$R,8,0)</f>
        <v>#N/A</v>
      </c>
      <c r="I66" t="e">
        <f>VLOOKUP($A66,'A Main Database'!$A:$R,9,0)</f>
        <v>#N/A</v>
      </c>
      <c r="J66" t="e">
        <f>VLOOKUP($A66,'A Main Database'!$A:$R,10,0)</f>
        <v>#N/A</v>
      </c>
      <c r="K66" t="e">
        <f>VLOOKUP($A66,'A Main Database'!$A:$R,11,0)</f>
        <v>#N/A</v>
      </c>
      <c r="L66" t="e">
        <f>VLOOKUP($A66,'A Main Database'!$A:$R,12,0)</f>
        <v>#N/A</v>
      </c>
      <c r="M66" t="e">
        <f>VLOOKUP($A66,'A Main Database'!$A:$R,13,0)</f>
        <v>#N/A</v>
      </c>
      <c r="N66" t="e">
        <f>VLOOKUP($A66,'A Main Database'!$A:$R,14,0)</f>
        <v>#N/A</v>
      </c>
      <c r="O66" t="e">
        <f>VLOOKUP($A66,'A Main Database'!$A:$R,15,0)</f>
        <v>#N/A</v>
      </c>
      <c r="P66" s="6" t="e">
        <f>VLOOKUP($A66,'A Main Database'!$A:$R,16,0)</f>
        <v>#N/A</v>
      </c>
      <c r="Q66" t="e">
        <f>VLOOKUP($A66,'A Main Database'!$A:$R,17,0)</f>
        <v>#N/A</v>
      </c>
      <c r="R66" t="e">
        <f>VLOOKUP($A66,'A Main Database'!$A:$R,18,0)</f>
        <v>#N/A</v>
      </c>
      <c r="S66" t="e">
        <f>VLOOKUP($A66,'A Main Database'!$A:$R,19,0)</f>
        <v>#N/A</v>
      </c>
      <c r="U66" t="e">
        <f>VLOOKUP(B66,'A Main Database'!A:A,1,0)</f>
        <v>#N/A</v>
      </c>
      <c r="V66" t="e">
        <f>VLOOKUP(B66,'A Main Database'!I:I,1,0)</f>
        <v>#N/A</v>
      </c>
      <c r="W66" t="e">
        <f>VLOOKUP(B66,'A Main Database'!M:M,1,0)</f>
        <v>#N/A</v>
      </c>
      <c r="X66" t="e">
        <f>VLOOKUP(B66,'A Main Database'!P:P,1,0)</f>
        <v>#N/A</v>
      </c>
      <c r="Y66" t="s">
        <v>287</v>
      </c>
      <c r="Z66" t="s">
        <v>292</v>
      </c>
      <c r="AA66" t="str">
        <f t="shared" si="1"/>
        <v>https://www.franchise-business.net/submit</v>
      </c>
    </row>
    <row r="67" spans="1:27" x14ac:dyDescent="0.25">
      <c r="A67" t="str">
        <f t="shared" si="0"/>
        <v>https://www.gust.com/submit</v>
      </c>
      <c r="B67" t="s">
        <v>145</v>
      </c>
      <c r="C67" s="4" t="e">
        <f>VLOOKUP($A67,'A Main Database'!$A:$R,3,0)</f>
        <v>#N/A</v>
      </c>
      <c r="D67" t="e">
        <f>VLOOKUP($A67,'A Main Database'!$A:$R,4,0)</f>
        <v>#N/A</v>
      </c>
      <c r="E67" t="e">
        <f>VLOOKUP($A67,'A Main Database'!$A:$R,5,0)</f>
        <v>#N/A</v>
      </c>
      <c r="F67" t="e">
        <f>VLOOKUP($A67,'A Main Database'!$A:$R,6,0)</f>
        <v>#N/A</v>
      </c>
      <c r="G67" t="e">
        <f>VLOOKUP($A67,'A Main Database'!$A:$R,7,0)</f>
        <v>#N/A</v>
      </c>
      <c r="H67" t="e">
        <f>VLOOKUP($A67,'A Main Database'!$A:$R,8,0)</f>
        <v>#N/A</v>
      </c>
      <c r="I67" t="e">
        <f>VLOOKUP($A67,'A Main Database'!$A:$R,9,0)</f>
        <v>#N/A</v>
      </c>
      <c r="J67" t="e">
        <f>VLOOKUP($A67,'A Main Database'!$A:$R,10,0)</f>
        <v>#N/A</v>
      </c>
      <c r="K67" t="e">
        <f>VLOOKUP($A67,'A Main Database'!$A:$R,11,0)</f>
        <v>#N/A</v>
      </c>
      <c r="L67" t="e">
        <f>VLOOKUP($A67,'A Main Database'!$A:$R,12,0)</f>
        <v>#N/A</v>
      </c>
      <c r="M67" t="e">
        <f>VLOOKUP($A67,'A Main Database'!$A:$R,13,0)</f>
        <v>#N/A</v>
      </c>
      <c r="N67" t="e">
        <f>VLOOKUP($A67,'A Main Database'!$A:$R,14,0)</f>
        <v>#N/A</v>
      </c>
      <c r="O67" t="e">
        <f>VLOOKUP($A67,'A Main Database'!$A:$R,15,0)</f>
        <v>#N/A</v>
      </c>
      <c r="P67" s="6" t="e">
        <f>VLOOKUP($A67,'A Main Database'!$A:$R,16,0)</f>
        <v>#N/A</v>
      </c>
      <c r="Q67" t="e">
        <f>VLOOKUP($A67,'A Main Database'!$A:$R,17,0)</f>
        <v>#N/A</v>
      </c>
      <c r="R67" t="e">
        <f>VLOOKUP($A67,'A Main Database'!$A:$R,18,0)</f>
        <v>#N/A</v>
      </c>
      <c r="S67" t="e">
        <f>VLOOKUP($A67,'A Main Database'!$A:$R,19,0)</f>
        <v>#N/A</v>
      </c>
      <c r="U67" t="e">
        <f>VLOOKUP(B67,'A Main Database'!A:A,1,0)</f>
        <v>#N/A</v>
      </c>
      <c r="V67" t="e">
        <f>VLOOKUP(B67,'A Main Database'!I:I,1,0)</f>
        <v>#N/A</v>
      </c>
      <c r="W67" t="e">
        <f>VLOOKUP(B67,'A Main Database'!M:M,1,0)</f>
        <v>#N/A</v>
      </c>
      <c r="X67" t="e">
        <f>VLOOKUP(B67,'A Main Database'!P:P,1,0)</f>
        <v>#N/A</v>
      </c>
      <c r="Y67" t="s">
        <v>287</v>
      </c>
      <c r="Z67" t="s">
        <v>292</v>
      </c>
      <c r="AA67" t="str">
        <f t="shared" si="1"/>
        <v>https://www.gust.com/submit</v>
      </c>
    </row>
    <row r="68" spans="1:27" x14ac:dyDescent="0.25">
      <c r="A68" t="str">
        <f t="shared" si="0"/>
        <v>homedirect.xyz/submit</v>
      </c>
      <c r="B68" t="s">
        <v>146</v>
      </c>
      <c r="C68" s="4" t="e">
        <f>VLOOKUP($A68,'A Main Database'!$A:$R,3,0)</f>
        <v>#N/A</v>
      </c>
      <c r="D68" t="e">
        <f>VLOOKUP($A68,'A Main Database'!$A:$R,4,0)</f>
        <v>#N/A</v>
      </c>
      <c r="E68" t="e">
        <f>VLOOKUP($A68,'A Main Database'!$A:$R,5,0)</f>
        <v>#N/A</v>
      </c>
      <c r="F68" t="e">
        <f>VLOOKUP($A68,'A Main Database'!$A:$R,6,0)</f>
        <v>#N/A</v>
      </c>
      <c r="G68" t="e">
        <f>VLOOKUP($A68,'A Main Database'!$A:$R,7,0)</f>
        <v>#N/A</v>
      </c>
      <c r="H68" t="e">
        <f>VLOOKUP($A68,'A Main Database'!$A:$R,8,0)</f>
        <v>#N/A</v>
      </c>
      <c r="I68" t="e">
        <f>VLOOKUP($A68,'A Main Database'!$A:$R,9,0)</f>
        <v>#N/A</v>
      </c>
      <c r="J68" t="e">
        <f>VLOOKUP($A68,'A Main Database'!$A:$R,10,0)</f>
        <v>#N/A</v>
      </c>
      <c r="K68" t="e">
        <f>VLOOKUP($A68,'A Main Database'!$A:$R,11,0)</f>
        <v>#N/A</v>
      </c>
      <c r="L68" t="e">
        <f>VLOOKUP($A68,'A Main Database'!$A:$R,12,0)</f>
        <v>#N/A</v>
      </c>
      <c r="M68" t="e">
        <f>VLOOKUP($A68,'A Main Database'!$A:$R,13,0)</f>
        <v>#N/A</v>
      </c>
      <c r="N68" t="e">
        <f>VLOOKUP($A68,'A Main Database'!$A:$R,14,0)</f>
        <v>#N/A</v>
      </c>
      <c r="O68" t="e">
        <f>VLOOKUP($A68,'A Main Database'!$A:$R,15,0)</f>
        <v>#N/A</v>
      </c>
      <c r="P68" s="6" t="e">
        <f>VLOOKUP($A68,'A Main Database'!$A:$R,16,0)</f>
        <v>#N/A</v>
      </c>
      <c r="Q68" t="e">
        <f>VLOOKUP($A68,'A Main Database'!$A:$R,17,0)</f>
        <v>#N/A</v>
      </c>
      <c r="R68" t="e">
        <f>VLOOKUP($A68,'A Main Database'!$A:$R,18,0)</f>
        <v>#N/A</v>
      </c>
      <c r="S68" t="e">
        <f>VLOOKUP($A68,'A Main Database'!$A:$R,19,0)</f>
        <v>#N/A</v>
      </c>
      <c r="U68" t="e">
        <f>VLOOKUP(B68,'A Main Database'!A:A,1,0)</f>
        <v>#N/A</v>
      </c>
      <c r="V68" t="e">
        <f>VLOOKUP(B68,'A Main Database'!I:I,1,0)</f>
        <v>#N/A</v>
      </c>
      <c r="W68" t="e">
        <f>VLOOKUP(B68,'A Main Database'!M:M,1,0)</f>
        <v>#N/A</v>
      </c>
      <c r="X68" t="e">
        <f>VLOOKUP(B68,'A Main Database'!P:P,1,0)</f>
        <v>#N/A</v>
      </c>
      <c r="Y68" t="s">
        <v>287</v>
      </c>
      <c r="Z68" t="s">
        <v>292</v>
      </c>
      <c r="AA68" t="str">
        <f t="shared" si="1"/>
        <v>homedirect.xyz/submit</v>
      </c>
    </row>
    <row r="69" spans="1:27" x14ac:dyDescent="0.25">
      <c r="A69" t="str">
        <f t="shared" ref="A69:A77" si="2">AA69</f>
        <v>host.io/submit</v>
      </c>
      <c r="B69" t="s">
        <v>147</v>
      </c>
      <c r="C69" s="4" t="e">
        <f>VLOOKUP($A69,'A Main Database'!$A:$R,3,0)</f>
        <v>#N/A</v>
      </c>
      <c r="D69" t="e">
        <f>VLOOKUP($A69,'A Main Database'!$A:$R,4,0)</f>
        <v>#N/A</v>
      </c>
      <c r="E69" t="e">
        <f>VLOOKUP($A69,'A Main Database'!$A:$R,5,0)</f>
        <v>#N/A</v>
      </c>
      <c r="F69" t="e">
        <f>VLOOKUP($A69,'A Main Database'!$A:$R,6,0)</f>
        <v>#N/A</v>
      </c>
      <c r="G69" t="e">
        <f>VLOOKUP($A69,'A Main Database'!$A:$R,7,0)</f>
        <v>#N/A</v>
      </c>
      <c r="H69" t="e">
        <f>VLOOKUP($A69,'A Main Database'!$A:$R,8,0)</f>
        <v>#N/A</v>
      </c>
      <c r="I69" t="e">
        <f>VLOOKUP($A69,'A Main Database'!$A:$R,9,0)</f>
        <v>#N/A</v>
      </c>
      <c r="J69" t="e">
        <f>VLOOKUP($A69,'A Main Database'!$A:$R,10,0)</f>
        <v>#N/A</v>
      </c>
      <c r="K69" t="e">
        <f>VLOOKUP($A69,'A Main Database'!$A:$R,11,0)</f>
        <v>#N/A</v>
      </c>
      <c r="L69" t="e">
        <f>VLOOKUP($A69,'A Main Database'!$A:$R,12,0)</f>
        <v>#N/A</v>
      </c>
      <c r="M69" t="e">
        <f>VLOOKUP($A69,'A Main Database'!$A:$R,13,0)</f>
        <v>#N/A</v>
      </c>
      <c r="N69" t="e">
        <f>VLOOKUP($A69,'A Main Database'!$A:$R,14,0)</f>
        <v>#N/A</v>
      </c>
      <c r="O69" t="e">
        <f>VLOOKUP($A69,'A Main Database'!$A:$R,15,0)</f>
        <v>#N/A</v>
      </c>
      <c r="P69" s="6" t="e">
        <f>VLOOKUP($A69,'A Main Database'!$A:$R,16,0)</f>
        <v>#N/A</v>
      </c>
      <c r="Q69" t="e">
        <f>VLOOKUP($A69,'A Main Database'!$A:$R,17,0)</f>
        <v>#N/A</v>
      </c>
      <c r="R69" t="e">
        <f>VLOOKUP($A69,'A Main Database'!$A:$R,18,0)</f>
        <v>#N/A</v>
      </c>
      <c r="S69" t="e">
        <f>VLOOKUP($A69,'A Main Database'!$A:$R,19,0)</f>
        <v>#N/A</v>
      </c>
      <c r="U69" t="e">
        <f>VLOOKUP(B69,'A Main Database'!A:A,1,0)</f>
        <v>#N/A</v>
      </c>
      <c r="V69" t="e">
        <f>VLOOKUP(B69,'A Main Database'!I:I,1,0)</f>
        <v>#N/A</v>
      </c>
      <c r="W69" t="e">
        <f>VLOOKUP(B69,'A Main Database'!M:M,1,0)</f>
        <v>#N/A</v>
      </c>
      <c r="X69" t="e">
        <f>VLOOKUP(B69,'A Main Database'!P:P,1,0)</f>
        <v>#N/A</v>
      </c>
      <c r="Y69" t="s">
        <v>287</v>
      </c>
      <c r="Z69" t="s">
        <v>292</v>
      </c>
      <c r="AA69" t="str">
        <f t="shared" si="1"/>
        <v>host.io/submit</v>
      </c>
    </row>
    <row r="70" spans="1:27" x14ac:dyDescent="0.25">
      <c r="A70" t="str">
        <f t="shared" si="2"/>
        <v>incasa.site/submit</v>
      </c>
      <c r="B70" t="s">
        <v>148</v>
      </c>
      <c r="C70" s="4" t="e">
        <f>VLOOKUP($A70,'A Main Database'!$A:$R,3,0)</f>
        <v>#N/A</v>
      </c>
      <c r="D70" t="e">
        <f>VLOOKUP($A70,'A Main Database'!$A:$R,4,0)</f>
        <v>#N/A</v>
      </c>
      <c r="E70" t="e">
        <f>VLOOKUP($A70,'A Main Database'!$A:$R,5,0)</f>
        <v>#N/A</v>
      </c>
      <c r="F70" t="e">
        <f>VLOOKUP($A70,'A Main Database'!$A:$R,6,0)</f>
        <v>#N/A</v>
      </c>
      <c r="G70" t="e">
        <f>VLOOKUP($A70,'A Main Database'!$A:$R,7,0)</f>
        <v>#N/A</v>
      </c>
      <c r="H70" t="e">
        <f>VLOOKUP($A70,'A Main Database'!$A:$R,8,0)</f>
        <v>#N/A</v>
      </c>
      <c r="I70" t="e">
        <f>VLOOKUP($A70,'A Main Database'!$A:$R,9,0)</f>
        <v>#N/A</v>
      </c>
      <c r="J70" t="e">
        <f>VLOOKUP($A70,'A Main Database'!$A:$R,10,0)</f>
        <v>#N/A</v>
      </c>
      <c r="K70" t="e">
        <f>VLOOKUP($A70,'A Main Database'!$A:$R,11,0)</f>
        <v>#N/A</v>
      </c>
      <c r="L70" t="e">
        <f>VLOOKUP($A70,'A Main Database'!$A:$R,12,0)</f>
        <v>#N/A</v>
      </c>
      <c r="M70" t="e">
        <f>VLOOKUP($A70,'A Main Database'!$A:$R,13,0)</f>
        <v>#N/A</v>
      </c>
      <c r="N70" t="e">
        <f>VLOOKUP($A70,'A Main Database'!$A:$R,14,0)</f>
        <v>#N/A</v>
      </c>
      <c r="O70" t="e">
        <f>VLOOKUP($A70,'A Main Database'!$A:$R,15,0)</f>
        <v>#N/A</v>
      </c>
      <c r="P70" s="6" t="e">
        <f>VLOOKUP($A70,'A Main Database'!$A:$R,16,0)</f>
        <v>#N/A</v>
      </c>
      <c r="Q70" t="e">
        <f>VLOOKUP($A70,'A Main Database'!$A:$R,17,0)</f>
        <v>#N/A</v>
      </c>
      <c r="R70" t="e">
        <f>VLOOKUP($A70,'A Main Database'!$A:$R,18,0)</f>
        <v>#N/A</v>
      </c>
      <c r="S70" t="e">
        <f>VLOOKUP($A70,'A Main Database'!$A:$R,19,0)</f>
        <v>#N/A</v>
      </c>
      <c r="U70" t="e">
        <f>VLOOKUP(B70,'A Main Database'!A:A,1,0)</f>
        <v>#N/A</v>
      </c>
      <c r="V70" t="e">
        <f>VLOOKUP(B70,'A Main Database'!I:I,1,0)</f>
        <v>#N/A</v>
      </c>
      <c r="W70" t="e">
        <f>VLOOKUP(B70,'A Main Database'!M:M,1,0)</f>
        <v>#N/A</v>
      </c>
      <c r="X70" t="e">
        <f>VLOOKUP(B70,'A Main Database'!P:P,1,0)</f>
        <v>#N/A</v>
      </c>
      <c r="Y70" t="s">
        <v>287</v>
      </c>
      <c r="Z70" t="s">
        <v>292</v>
      </c>
      <c r="AA70" t="str">
        <f t="shared" ref="AA70:AA77" si="3">CONCATENATE(B70,Z70)</f>
        <v>incasa.site/submit</v>
      </c>
    </row>
    <row r="71" spans="1:27" x14ac:dyDescent="0.25">
      <c r="A71" t="str">
        <f t="shared" si="2"/>
        <v>janitorialserviceskatesa.blogspot.com/submit</v>
      </c>
      <c r="B71" t="s">
        <v>149</v>
      </c>
      <c r="C71" s="4" t="e">
        <f>VLOOKUP($A71,'A Main Database'!$A:$R,3,0)</f>
        <v>#N/A</v>
      </c>
      <c r="D71" t="e">
        <f>VLOOKUP($A71,'A Main Database'!$A:$R,4,0)</f>
        <v>#N/A</v>
      </c>
      <c r="E71" t="e">
        <f>VLOOKUP($A71,'A Main Database'!$A:$R,5,0)</f>
        <v>#N/A</v>
      </c>
      <c r="F71" t="e">
        <f>VLOOKUP($A71,'A Main Database'!$A:$R,6,0)</f>
        <v>#N/A</v>
      </c>
      <c r="G71" t="e">
        <f>VLOOKUP($A71,'A Main Database'!$A:$R,7,0)</f>
        <v>#N/A</v>
      </c>
      <c r="H71" t="e">
        <f>VLOOKUP($A71,'A Main Database'!$A:$R,8,0)</f>
        <v>#N/A</v>
      </c>
      <c r="I71" t="e">
        <f>VLOOKUP($A71,'A Main Database'!$A:$R,9,0)</f>
        <v>#N/A</v>
      </c>
      <c r="J71" t="e">
        <f>VLOOKUP($A71,'A Main Database'!$A:$R,10,0)</f>
        <v>#N/A</v>
      </c>
      <c r="K71" t="e">
        <f>VLOOKUP($A71,'A Main Database'!$A:$R,11,0)</f>
        <v>#N/A</v>
      </c>
      <c r="L71" t="e">
        <f>VLOOKUP($A71,'A Main Database'!$A:$R,12,0)</f>
        <v>#N/A</v>
      </c>
      <c r="M71" t="e">
        <f>VLOOKUP($A71,'A Main Database'!$A:$R,13,0)</f>
        <v>#N/A</v>
      </c>
      <c r="N71" t="e">
        <f>VLOOKUP($A71,'A Main Database'!$A:$R,14,0)</f>
        <v>#N/A</v>
      </c>
      <c r="O71" t="e">
        <f>VLOOKUP($A71,'A Main Database'!$A:$R,15,0)</f>
        <v>#N/A</v>
      </c>
      <c r="P71" s="6" t="e">
        <f>VLOOKUP($A71,'A Main Database'!$A:$R,16,0)</f>
        <v>#N/A</v>
      </c>
      <c r="Q71" t="e">
        <f>VLOOKUP($A71,'A Main Database'!$A:$R,17,0)</f>
        <v>#N/A</v>
      </c>
      <c r="R71" t="e">
        <f>VLOOKUP($A71,'A Main Database'!$A:$R,18,0)</f>
        <v>#N/A</v>
      </c>
      <c r="S71" t="e">
        <f>VLOOKUP($A71,'A Main Database'!$A:$R,19,0)</f>
        <v>#N/A</v>
      </c>
      <c r="U71" t="e">
        <f>VLOOKUP(B71,'A Main Database'!A:A,1,0)</f>
        <v>#N/A</v>
      </c>
      <c r="V71" t="e">
        <f>VLOOKUP(B71,'A Main Database'!I:I,1,0)</f>
        <v>#N/A</v>
      </c>
      <c r="W71" t="e">
        <f>VLOOKUP(B71,'A Main Database'!M:M,1,0)</f>
        <v>#N/A</v>
      </c>
      <c r="X71" t="e">
        <f>VLOOKUP(B71,'A Main Database'!P:P,1,0)</f>
        <v>#N/A</v>
      </c>
      <c r="Y71" t="s">
        <v>287</v>
      </c>
      <c r="Z71" t="s">
        <v>292</v>
      </c>
      <c r="AA71" t="str">
        <f t="shared" si="3"/>
        <v>janitorialserviceskatesa.blogspot.com/submit</v>
      </c>
    </row>
    <row r="72" spans="1:27" x14ac:dyDescent="0.25">
      <c r="A72" t="str">
        <f t="shared" si="2"/>
        <v>jraces.com/submit</v>
      </c>
      <c r="B72" t="s">
        <v>150</v>
      </c>
      <c r="C72" s="4" t="e">
        <f>VLOOKUP($A72,'A Main Database'!$A:$R,3,0)</f>
        <v>#N/A</v>
      </c>
      <c r="D72" t="e">
        <f>VLOOKUP($A72,'A Main Database'!$A:$R,4,0)</f>
        <v>#N/A</v>
      </c>
      <c r="E72" t="e">
        <f>VLOOKUP($A72,'A Main Database'!$A:$R,5,0)</f>
        <v>#N/A</v>
      </c>
      <c r="F72" t="e">
        <f>VLOOKUP($A72,'A Main Database'!$A:$R,6,0)</f>
        <v>#N/A</v>
      </c>
      <c r="G72" t="e">
        <f>VLOOKUP($A72,'A Main Database'!$A:$R,7,0)</f>
        <v>#N/A</v>
      </c>
      <c r="H72" t="e">
        <f>VLOOKUP($A72,'A Main Database'!$A:$R,8,0)</f>
        <v>#N/A</v>
      </c>
      <c r="I72" t="e">
        <f>VLOOKUP($A72,'A Main Database'!$A:$R,9,0)</f>
        <v>#N/A</v>
      </c>
      <c r="J72" t="e">
        <f>VLOOKUP($A72,'A Main Database'!$A:$R,10,0)</f>
        <v>#N/A</v>
      </c>
      <c r="K72" t="e">
        <f>VLOOKUP($A72,'A Main Database'!$A:$R,11,0)</f>
        <v>#N/A</v>
      </c>
      <c r="L72" t="e">
        <f>VLOOKUP($A72,'A Main Database'!$A:$R,12,0)</f>
        <v>#N/A</v>
      </c>
      <c r="M72" t="e">
        <f>VLOOKUP($A72,'A Main Database'!$A:$R,13,0)</f>
        <v>#N/A</v>
      </c>
      <c r="N72" t="e">
        <f>VLOOKUP($A72,'A Main Database'!$A:$R,14,0)</f>
        <v>#N/A</v>
      </c>
      <c r="O72" t="e">
        <f>VLOOKUP($A72,'A Main Database'!$A:$R,15,0)</f>
        <v>#N/A</v>
      </c>
      <c r="P72" s="6" t="e">
        <f>VLOOKUP($A72,'A Main Database'!$A:$R,16,0)</f>
        <v>#N/A</v>
      </c>
      <c r="Q72" t="e">
        <f>VLOOKUP($A72,'A Main Database'!$A:$R,17,0)</f>
        <v>#N/A</v>
      </c>
      <c r="R72" t="e">
        <f>VLOOKUP($A72,'A Main Database'!$A:$R,18,0)</f>
        <v>#N/A</v>
      </c>
      <c r="S72" t="e">
        <f>VLOOKUP($A72,'A Main Database'!$A:$R,19,0)</f>
        <v>#N/A</v>
      </c>
      <c r="U72" t="e">
        <f>VLOOKUP(B72,'A Main Database'!A:A,1,0)</f>
        <v>#N/A</v>
      </c>
      <c r="V72" t="e">
        <f>VLOOKUP(B72,'A Main Database'!I:I,1,0)</f>
        <v>#N/A</v>
      </c>
      <c r="W72" t="e">
        <f>VLOOKUP(B72,'A Main Database'!M:M,1,0)</f>
        <v>#N/A</v>
      </c>
      <c r="X72" t="e">
        <f>VLOOKUP(B72,'A Main Database'!P:P,1,0)</f>
        <v>#N/A</v>
      </c>
      <c r="Y72" t="s">
        <v>287</v>
      </c>
      <c r="Z72" t="s">
        <v>292</v>
      </c>
      <c r="AA72" t="str">
        <f t="shared" si="3"/>
        <v>jraces.com/submit</v>
      </c>
    </row>
    <row r="73" spans="1:27" x14ac:dyDescent="0.25">
      <c r="A73" t="str">
        <f t="shared" si="2"/>
        <v>localyaar.com/submit</v>
      </c>
      <c r="B73" t="s">
        <v>151</v>
      </c>
      <c r="C73" s="4" t="e">
        <f>VLOOKUP($A73,'A Main Database'!$A:$R,3,0)</f>
        <v>#N/A</v>
      </c>
      <c r="D73" t="e">
        <f>VLOOKUP($A73,'A Main Database'!$A:$R,4,0)</f>
        <v>#N/A</v>
      </c>
      <c r="E73" t="e">
        <f>VLOOKUP($A73,'A Main Database'!$A:$R,5,0)</f>
        <v>#N/A</v>
      </c>
      <c r="F73" t="e">
        <f>VLOOKUP($A73,'A Main Database'!$A:$R,6,0)</f>
        <v>#N/A</v>
      </c>
      <c r="G73" t="e">
        <f>VLOOKUP($A73,'A Main Database'!$A:$R,7,0)</f>
        <v>#N/A</v>
      </c>
      <c r="H73" t="e">
        <f>VLOOKUP($A73,'A Main Database'!$A:$R,8,0)</f>
        <v>#N/A</v>
      </c>
      <c r="I73" t="e">
        <f>VLOOKUP($A73,'A Main Database'!$A:$R,9,0)</f>
        <v>#N/A</v>
      </c>
      <c r="J73" t="e">
        <f>VLOOKUP($A73,'A Main Database'!$A:$R,10,0)</f>
        <v>#N/A</v>
      </c>
      <c r="K73" t="e">
        <f>VLOOKUP($A73,'A Main Database'!$A:$R,11,0)</f>
        <v>#N/A</v>
      </c>
      <c r="L73" t="e">
        <f>VLOOKUP($A73,'A Main Database'!$A:$R,12,0)</f>
        <v>#N/A</v>
      </c>
      <c r="M73" t="e">
        <f>VLOOKUP($A73,'A Main Database'!$A:$R,13,0)</f>
        <v>#N/A</v>
      </c>
      <c r="N73" t="e">
        <f>VLOOKUP($A73,'A Main Database'!$A:$R,14,0)</f>
        <v>#N/A</v>
      </c>
      <c r="O73" t="e">
        <f>VLOOKUP($A73,'A Main Database'!$A:$R,15,0)</f>
        <v>#N/A</v>
      </c>
      <c r="P73" s="6" t="e">
        <f>VLOOKUP($A73,'A Main Database'!$A:$R,16,0)</f>
        <v>#N/A</v>
      </c>
      <c r="Q73" t="e">
        <f>VLOOKUP($A73,'A Main Database'!$A:$R,17,0)</f>
        <v>#N/A</v>
      </c>
      <c r="R73" t="e">
        <f>VLOOKUP($A73,'A Main Database'!$A:$R,18,0)</f>
        <v>#N/A</v>
      </c>
      <c r="S73" t="e">
        <f>VLOOKUP($A73,'A Main Database'!$A:$R,19,0)</f>
        <v>#N/A</v>
      </c>
      <c r="U73" t="e">
        <f>VLOOKUP(B73,'A Main Database'!A:A,1,0)</f>
        <v>#N/A</v>
      </c>
      <c r="V73" t="e">
        <f>VLOOKUP(B73,'A Main Database'!I:I,1,0)</f>
        <v>#N/A</v>
      </c>
      <c r="W73" t="e">
        <f>VLOOKUP(B73,'A Main Database'!M:M,1,0)</f>
        <v>#N/A</v>
      </c>
      <c r="X73" t="e">
        <f>VLOOKUP(B73,'A Main Database'!P:P,1,0)</f>
        <v>#N/A</v>
      </c>
      <c r="Y73" t="s">
        <v>287</v>
      </c>
      <c r="Z73" t="s">
        <v>292</v>
      </c>
      <c r="AA73" t="str">
        <f t="shared" si="3"/>
        <v>localyaar.com/submit</v>
      </c>
    </row>
    <row r="74" spans="1:27" x14ac:dyDescent="0.25">
      <c r="A74" t="str">
        <f t="shared" si="2"/>
        <v>mappca.com/submit</v>
      </c>
      <c r="B74" t="s">
        <v>152</v>
      </c>
      <c r="C74" s="4" t="e">
        <f>VLOOKUP($A74,'A Main Database'!$A:$R,3,0)</f>
        <v>#N/A</v>
      </c>
      <c r="D74" t="e">
        <f>VLOOKUP($A74,'A Main Database'!$A:$R,4,0)</f>
        <v>#N/A</v>
      </c>
      <c r="E74" t="e">
        <f>VLOOKUP($A74,'A Main Database'!$A:$R,5,0)</f>
        <v>#N/A</v>
      </c>
      <c r="F74" t="e">
        <f>VLOOKUP($A74,'A Main Database'!$A:$R,6,0)</f>
        <v>#N/A</v>
      </c>
      <c r="G74" t="e">
        <f>VLOOKUP($A74,'A Main Database'!$A:$R,7,0)</f>
        <v>#N/A</v>
      </c>
      <c r="H74" t="e">
        <f>VLOOKUP($A74,'A Main Database'!$A:$R,8,0)</f>
        <v>#N/A</v>
      </c>
      <c r="I74" t="e">
        <f>VLOOKUP($A74,'A Main Database'!$A:$R,9,0)</f>
        <v>#N/A</v>
      </c>
      <c r="J74" t="e">
        <f>VLOOKUP($A74,'A Main Database'!$A:$R,10,0)</f>
        <v>#N/A</v>
      </c>
      <c r="K74" t="e">
        <f>VLOOKUP($A74,'A Main Database'!$A:$R,11,0)</f>
        <v>#N/A</v>
      </c>
      <c r="L74" t="e">
        <f>VLOOKUP($A74,'A Main Database'!$A:$R,12,0)</f>
        <v>#N/A</v>
      </c>
      <c r="M74" t="e">
        <f>VLOOKUP($A74,'A Main Database'!$A:$R,13,0)</f>
        <v>#N/A</v>
      </c>
      <c r="N74" t="e">
        <f>VLOOKUP($A74,'A Main Database'!$A:$R,14,0)</f>
        <v>#N/A</v>
      </c>
      <c r="O74" t="e">
        <f>VLOOKUP($A74,'A Main Database'!$A:$R,15,0)</f>
        <v>#N/A</v>
      </c>
      <c r="P74" s="6" t="e">
        <f>VLOOKUP($A74,'A Main Database'!$A:$R,16,0)</f>
        <v>#N/A</v>
      </c>
      <c r="Q74" t="e">
        <f>VLOOKUP($A74,'A Main Database'!$A:$R,17,0)</f>
        <v>#N/A</v>
      </c>
      <c r="R74" t="e">
        <f>VLOOKUP($A74,'A Main Database'!$A:$R,18,0)</f>
        <v>#N/A</v>
      </c>
      <c r="S74" t="e">
        <f>VLOOKUP($A74,'A Main Database'!$A:$R,19,0)</f>
        <v>#N/A</v>
      </c>
      <c r="U74" t="e">
        <f>VLOOKUP(B74,'A Main Database'!A:A,1,0)</f>
        <v>#N/A</v>
      </c>
      <c r="V74" t="e">
        <f>VLOOKUP(B74,'A Main Database'!I:I,1,0)</f>
        <v>#N/A</v>
      </c>
      <c r="W74" t="e">
        <f>VLOOKUP(B74,'A Main Database'!M:M,1,0)</f>
        <v>#N/A</v>
      </c>
      <c r="X74" t="e">
        <f>VLOOKUP(B74,'A Main Database'!P:P,1,0)</f>
        <v>#N/A</v>
      </c>
      <c r="Y74" t="s">
        <v>287</v>
      </c>
      <c r="Z74" t="s">
        <v>292</v>
      </c>
      <c r="AA74" t="str">
        <f t="shared" si="3"/>
        <v>mappca.com/submit</v>
      </c>
    </row>
    <row r="75" spans="1:27" x14ac:dyDescent="0.25">
      <c r="A75" t="str">
        <f t="shared" si="2"/>
        <v>pr.co/submit</v>
      </c>
      <c r="B75" t="s">
        <v>153</v>
      </c>
      <c r="C75" s="4" t="e">
        <f>VLOOKUP($A75,'A Main Database'!$A:$R,3,0)</f>
        <v>#N/A</v>
      </c>
      <c r="D75" t="e">
        <f>VLOOKUP($A75,'A Main Database'!$A:$R,4,0)</f>
        <v>#N/A</v>
      </c>
      <c r="E75" t="e">
        <f>VLOOKUP($A75,'A Main Database'!$A:$R,5,0)</f>
        <v>#N/A</v>
      </c>
      <c r="F75" t="e">
        <f>VLOOKUP($A75,'A Main Database'!$A:$R,6,0)</f>
        <v>#N/A</v>
      </c>
      <c r="G75" t="e">
        <f>VLOOKUP($A75,'A Main Database'!$A:$R,7,0)</f>
        <v>#N/A</v>
      </c>
      <c r="H75" t="e">
        <f>VLOOKUP($A75,'A Main Database'!$A:$R,8,0)</f>
        <v>#N/A</v>
      </c>
      <c r="I75" t="e">
        <f>VLOOKUP($A75,'A Main Database'!$A:$R,9,0)</f>
        <v>#N/A</v>
      </c>
      <c r="J75" t="e">
        <f>VLOOKUP($A75,'A Main Database'!$A:$R,10,0)</f>
        <v>#N/A</v>
      </c>
      <c r="K75" t="e">
        <f>VLOOKUP($A75,'A Main Database'!$A:$R,11,0)</f>
        <v>#N/A</v>
      </c>
      <c r="L75" t="e">
        <f>VLOOKUP($A75,'A Main Database'!$A:$R,12,0)</f>
        <v>#N/A</v>
      </c>
      <c r="M75" t="e">
        <f>VLOOKUP($A75,'A Main Database'!$A:$R,13,0)</f>
        <v>#N/A</v>
      </c>
      <c r="N75" t="e">
        <f>VLOOKUP($A75,'A Main Database'!$A:$R,14,0)</f>
        <v>#N/A</v>
      </c>
      <c r="O75" t="e">
        <f>VLOOKUP($A75,'A Main Database'!$A:$R,15,0)</f>
        <v>#N/A</v>
      </c>
      <c r="P75" s="6" t="e">
        <f>VLOOKUP($A75,'A Main Database'!$A:$R,16,0)</f>
        <v>#N/A</v>
      </c>
      <c r="Q75" t="e">
        <f>VLOOKUP($A75,'A Main Database'!$A:$R,17,0)</f>
        <v>#N/A</v>
      </c>
      <c r="R75" t="e">
        <f>VLOOKUP($A75,'A Main Database'!$A:$R,18,0)</f>
        <v>#N/A</v>
      </c>
      <c r="S75" t="e">
        <f>VLOOKUP($A75,'A Main Database'!$A:$R,19,0)</f>
        <v>#N/A</v>
      </c>
      <c r="U75" t="e">
        <f>VLOOKUP(B75,'A Main Database'!A:A,1,0)</f>
        <v>#N/A</v>
      </c>
      <c r="V75" t="e">
        <f>VLOOKUP(B75,'A Main Database'!I:I,1,0)</f>
        <v>#N/A</v>
      </c>
      <c r="W75" t="e">
        <f>VLOOKUP(B75,'A Main Database'!M:M,1,0)</f>
        <v>#N/A</v>
      </c>
      <c r="X75" t="e">
        <f>VLOOKUP(B75,'A Main Database'!P:P,1,0)</f>
        <v>#N/A</v>
      </c>
      <c r="Y75" t="s">
        <v>287</v>
      </c>
      <c r="Z75" t="s">
        <v>292</v>
      </c>
      <c r="AA75" t="str">
        <f t="shared" si="3"/>
        <v>pr.co/submit</v>
      </c>
    </row>
    <row r="76" spans="1:27" x14ac:dyDescent="0.25">
      <c r="A76" t="str">
        <f t="shared" si="2"/>
        <v>membee.com/submit</v>
      </c>
      <c r="B76" t="s">
        <v>154</v>
      </c>
      <c r="C76" s="4" t="e">
        <f>VLOOKUP($A76,'A Main Database'!$A:$R,3,0)</f>
        <v>#N/A</v>
      </c>
      <c r="D76" t="e">
        <f>VLOOKUP($A76,'A Main Database'!$A:$R,4,0)</f>
        <v>#N/A</v>
      </c>
      <c r="E76" t="e">
        <f>VLOOKUP($A76,'A Main Database'!$A:$R,5,0)</f>
        <v>#N/A</v>
      </c>
      <c r="F76" t="e">
        <f>VLOOKUP($A76,'A Main Database'!$A:$R,6,0)</f>
        <v>#N/A</v>
      </c>
      <c r="G76" t="e">
        <f>VLOOKUP($A76,'A Main Database'!$A:$R,7,0)</f>
        <v>#N/A</v>
      </c>
      <c r="H76" t="e">
        <f>VLOOKUP($A76,'A Main Database'!$A:$R,8,0)</f>
        <v>#N/A</v>
      </c>
      <c r="I76" t="e">
        <f>VLOOKUP($A76,'A Main Database'!$A:$R,9,0)</f>
        <v>#N/A</v>
      </c>
      <c r="J76" t="e">
        <f>VLOOKUP($A76,'A Main Database'!$A:$R,10,0)</f>
        <v>#N/A</v>
      </c>
      <c r="K76" t="e">
        <f>VLOOKUP($A76,'A Main Database'!$A:$R,11,0)</f>
        <v>#N/A</v>
      </c>
      <c r="L76" t="e">
        <f>VLOOKUP($A76,'A Main Database'!$A:$R,12,0)</f>
        <v>#N/A</v>
      </c>
      <c r="M76" t="e">
        <f>VLOOKUP($A76,'A Main Database'!$A:$R,13,0)</f>
        <v>#N/A</v>
      </c>
      <c r="N76" t="e">
        <f>VLOOKUP($A76,'A Main Database'!$A:$R,14,0)</f>
        <v>#N/A</v>
      </c>
      <c r="O76" t="e">
        <f>VLOOKUP($A76,'A Main Database'!$A:$R,15,0)</f>
        <v>#N/A</v>
      </c>
      <c r="P76" s="6" t="e">
        <f>VLOOKUP($A76,'A Main Database'!$A:$R,16,0)</f>
        <v>#N/A</v>
      </c>
      <c r="Q76" t="e">
        <f>VLOOKUP($A76,'A Main Database'!$A:$R,17,0)</f>
        <v>#N/A</v>
      </c>
      <c r="R76" t="e">
        <f>VLOOKUP($A76,'A Main Database'!$A:$R,18,0)</f>
        <v>#N/A</v>
      </c>
      <c r="S76" t="e">
        <f>VLOOKUP($A76,'A Main Database'!$A:$R,19,0)</f>
        <v>#N/A</v>
      </c>
      <c r="U76" t="e">
        <f>VLOOKUP(B76,'A Main Database'!A:A,1,0)</f>
        <v>#N/A</v>
      </c>
      <c r="V76" t="e">
        <f>VLOOKUP(B76,'A Main Database'!I:I,1,0)</f>
        <v>#N/A</v>
      </c>
      <c r="W76" t="e">
        <f>VLOOKUP(B76,'A Main Database'!M:M,1,0)</f>
        <v>#N/A</v>
      </c>
      <c r="X76" t="e">
        <f>VLOOKUP(B76,'A Main Database'!P:P,1,0)</f>
        <v>#N/A</v>
      </c>
      <c r="Y76" t="s">
        <v>287</v>
      </c>
      <c r="Z76" t="s">
        <v>292</v>
      </c>
      <c r="AA76" t="str">
        <f t="shared" si="3"/>
        <v>membee.com/submit</v>
      </c>
    </row>
    <row r="77" spans="1:27" x14ac:dyDescent="0.25">
      <c r="A77" t="str">
        <f t="shared" si="2"/>
        <v>constantcontact.com/submit</v>
      </c>
      <c r="B77" t="s">
        <v>155</v>
      </c>
      <c r="C77" s="4" t="e">
        <f>VLOOKUP($A77,'A Main Database'!$A:$R,3,0)</f>
        <v>#N/A</v>
      </c>
      <c r="D77" t="e">
        <f>VLOOKUP($A77,'A Main Database'!$A:$R,4,0)</f>
        <v>#N/A</v>
      </c>
      <c r="E77" t="e">
        <f>VLOOKUP($A77,'A Main Database'!$A:$R,5,0)</f>
        <v>#N/A</v>
      </c>
      <c r="F77" t="e">
        <f>VLOOKUP($A77,'A Main Database'!$A:$R,6,0)</f>
        <v>#N/A</v>
      </c>
      <c r="G77" t="e">
        <f>VLOOKUP($A77,'A Main Database'!$A:$R,7,0)</f>
        <v>#N/A</v>
      </c>
      <c r="H77" t="e">
        <f>VLOOKUP($A77,'A Main Database'!$A:$R,8,0)</f>
        <v>#N/A</v>
      </c>
      <c r="I77" t="e">
        <f>VLOOKUP($A77,'A Main Database'!$A:$R,9,0)</f>
        <v>#N/A</v>
      </c>
      <c r="J77" t="e">
        <f>VLOOKUP($A77,'A Main Database'!$A:$R,10,0)</f>
        <v>#N/A</v>
      </c>
      <c r="K77" t="e">
        <f>VLOOKUP($A77,'A Main Database'!$A:$R,11,0)</f>
        <v>#N/A</v>
      </c>
      <c r="L77" t="e">
        <f>VLOOKUP($A77,'A Main Database'!$A:$R,12,0)</f>
        <v>#N/A</v>
      </c>
      <c r="M77" t="e">
        <f>VLOOKUP($A77,'A Main Database'!$A:$R,13,0)</f>
        <v>#N/A</v>
      </c>
      <c r="N77" t="e">
        <f>VLOOKUP($A77,'A Main Database'!$A:$R,14,0)</f>
        <v>#N/A</v>
      </c>
      <c r="O77" t="e">
        <f>VLOOKUP($A77,'A Main Database'!$A:$R,15,0)</f>
        <v>#N/A</v>
      </c>
      <c r="P77" s="6" t="e">
        <f>VLOOKUP($A77,'A Main Database'!$A:$R,16,0)</f>
        <v>#N/A</v>
      </c>
      <c r="Q77" t="e">
        <f>VLOOKUP($A77,'A Main Database'!$A:$R,17,0)</f>
        <v>#N/A</v>
      </c>
      <c r="R77" t="e">
        <f>VLOOKUP($A77,'A Main Database'!$A:$R,18,0)</f>
        <v>#N/A</v>
      </c>
      <c r="S77" t="e">
        <f>VLOOKUP($A77,'A Main Database'!$A:$R,19,0)</f>
        <v>#N/A</v>
      </c>
      <c r="U77" t="e">
        <f>VLOOKUP(B77,'A Main Database'!A:A,1,0)</f>
        <v>#N/A</v>
      </c>
      <c r="V77" t="e">
        <f>VLOOKUP(B77,'A Main Database'!I:I,1,0)</f>
        <v>#N/A</v>
      </c>
      <c r="W77" t="e">
        <f>VLOOKUP(B77,'A Main Database'!M:M,1,0)</f>
        <v>#N/A</v>
      </c>
      <c r="X77" t="e">
        <f>VLOOKUP(B77,'A Main Database'!P:P,1,0)</f>
        <v>#N/A</v>
      </c>
      <c r="Y77" t="s">
        <v>287</v>
      </c>
      <c r="Z77" t="s">
        <v>292</v>
      </c>
      <c r="AA77" t="str">
        <f t="shared" si="3"/>
        <v>constantcontact.com/submit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A77"/>
  <sheetViews>
    <sheetView workbookViewId="0">
      <pane xSplit="2" ySplit="4" topLeftCell="C5" activePane="bottomRight" state="frozen"/>
      <selection pane="topRight" activeCell="B1" sqref="B1"/>
      <selection pane="bottomLeft" activeCell="A5" sqref="A5"/>
      <selection pane="bottomRight" activeCell="A6" sqref="A6"/>
    </sheetView>
  </sheetViews>
  <sheetFormatPr defaultRowHeight="15" x14ac:dyDescent="0.25"/>
  <cols>
    <col min="1" max="1" width="64.42578125" bestFit="1" customWidth="1"/>
    <col min="2" max="2" width="57.140625" bestFit="1" customWidth="1"/>
    <col min="3" max="3" width="16.5703125" bestFit="1" customWidth="1"/>
    <col min="4" max="5" width="7.85546875" customWidth="1"/>
    <col min="6" max="6" width="7" customWidth="1"/>
    <col min="7" max="7" width="13.85546875" bestFit="1" customWidth="1"/>
    <col min="8" max="8" width="13.7109375" bestFit="1" customWidth="1"/>
    <col min="9" max="9" width="13.42578125" bestFit="1" customWidth="1"/>
    <col min="10" max="10" width="10" bestFit="1" customWidth="1"/>
    <col min="11" max="11" width="12.140625" bestFit="1" customWidth="1"/>
    <col min="12" max="12" width="15.42578125" bestFit="1" customWidth="1"/>
    <col min="13" max="13" width="13.28515625" bestFit="1" customWidth="1"/>
    <col min="14" max="14" width="64.42578125" bestFit="1" customWidth="1"/>
    <col min="15" max="15" width="6" bestFit="1" customWidth="1"/>
    <col min="16" max="16" width="14.42578125" bestFit="1" customWidth="1"/>
    <col min="17" max="17" width="63.7109375" bestFit="1" customWidth="1"/>
    <col min="18" max="18" width="23.42578125" bestFit="1" customWidth="1"/>
    <col min="19" max="19" width="46.85546875" bestFit="1" customWidth="1"/>
    <col min="21" max="21" width="35.5703125" bestFit="1" customWidth="1"/>
    <col min="22" max="22" width="12.42578125" bestFit="1" customWidth="1"/>
    <col min="23" max="23" width="15.85546875" bestFit="1" customWidth="1"/>
    <col min="24" max="24" width="12.42578125" bestFit="1" customWidth="1"/>
    <col min="25" max="25" width="9.42578125" bestFit="1" customWidth="1"/>
    <col min="26" max="26" width="8" bestFit="1" customWidth="1"/>
    <col min="27" max="27" width="64.42578125" bestFit="1" customWidth="1"/>
  </cols>
  <sheetData>
    <row r="1" spans="1:27" x14ac:dyDescent="0.25">
      <c r="A1" t="s">
        <v>293</v>
      </c>
    </row>
    <row r="2" spans="1:27" x14ac:dyDescent="0.25">
      <c r="U2" t="s">
        <v>288</v>
      </c>
      <c r="V2" t="s">
        <v>289</v>
      </c>
      <c r="W2" t="s">
        <v>289</v>
      </c>
      <c r="X2" t="s">
        <v>289</v>
      </c>
    </row>
    <row r="3" spans="1:27" x14ac:dyDescent="0.25">
      <c r="B3" t="s">
        <v>282</v>
      </c>
      <c r="U3" t="s">
        <v>291</v>
      </c>
      <c r="V3" t="s">
        <v>290</v>
      </c>
      <c r="W3" t="s">
        <v>290</v>
      </c>
      <c r="X3" t="s">
        <v>290</v>
      </c>
    </row>
    <row r="4" spans="1:27" x14ac:dyDescent="0.25">
      <c r="A4" t="str">
        <f>AA4</f>
        <v>Domain URL</v>
      </c>
      <c r="B4" s="2" t="s">
        <v>3</v>
      </c>
      <c r="C4" s="1" t="s">
        <v>4</v>
      </c>
      <c r="D4" s="1" t="s">
        <v>5</v>
      </c>
      <c r="E4" s="1" t="s">
        <v>6</v>
      </c>
      <c r="F4" s="1" t="s">
        <v>2</v>
      </c>
      <c r="G4" s="1" t="s">
        <v>7</v>
      </c>
      <c r="H4" s="1" t="s">
        <v>8</v>
      </c>
      <c r="I4" s="1" t="s">
        <v>9</v>
      </c>
      <c r="J4" s="9" t="s">
        <v>284</v>
      </c>
      <c r="K4" s="1" t="s">
        <v>10</v>
      </c>
      <c r="L4" s="1" t="s">
        <v>11</v>
      </c>
      <c r="M4" s="1" t="s">
        <v>12</v>
      </c>
      <c r="N4" s="2" t="s">
        <v>13</v>
      </c>
      <c r="O4" s="2" t="s">
        <v>14</v>
      </c>
      <c r="P4" s="3" t="s">
        <v>15</v>
      </c>
      <c r="Q4" s="1" t="s">
        <v>16</v>
      </c>
      <c r="R4" s="1" t="s">
        <v>17</v>
      </c>
      <c r="S4" s="1" t="s">
        <v>280</v>
      </c>
      <c r="U4" s="2" t="s">
        <v>3</v>
      </c>
      <c r="V4" s="9" t="s">
        <v>284</v>
      </c>
      <c r="W4" s="2" t="s">
        <v>13</v>
      </c>
      <c r="X4" s="1" t="s">
        <v>16</v>
      </c>
      <c r="Y4" s="1" t="s">
        <v>286</v>
      </c>
      <c r="Z4" s="2" t="s">
        <v>292</v>
      </c>
      <c r="AA4" s="2" t="s">
        <v>3</v>
      </c>
    </row>
    <row r="5" spans="1:27" x14ac:dyDescent="0.25">
      <c r="A5" t="str">
        <f t="shared" ref="A5:A68" si="0">AA5</f>
        <v>http://411.ca/submit</v>
      </c>
      <c r="B5" t="s">
        <v>108</v>
      </c>
      <c r="C5" s="4" t="e">
        <f>VLOOKUP($A5,'A Main Database'!$A:$R,3,0)</f>
        <v>#N/A</v>
      </c>
      <c r="D5" t="e">
        <f>VLOOKUP($A5,'A Main Database'!$A:$R,4,0)</f>
        <v>#N/A</v>
      </c>
      <c r="E5" t="e">
        <f>VLOOKUP($A5,'A Main Database'!$A:$R,5,0)</f>
        <v>#N/A</v>
      </c>
      <c r="F5" t="e">
        <f>VLOOKUP($A5,'A Main Database'!$A:$R,6,0)</f>
        <v>#N/A</v>
      </c>
      <c r="G5" t="e">
        <f>VLOOKUP($A5,'A Main Database'!$A:$R,7,0)</f>
        <v>#N/A</v>
      </c>
      <c r="H5" t="e">
        <f>VLOOKUP($A5,'A Main Database'!$A:$R,8,0)</f>
        <v>#N/A</v>
      </c>
      <c r="I5" t="e">
        <f>VLOOKUP($A5,'A Main Database'!$A:$R,9,0)</f>
        <v>#N/A</v>
      </c>
      <c r="J5" t="e">
        <f>VLOOKUP($A5,'A Main Database'!$A:$R,10,0)</f>
        <v>#N/A</v>
      </c>
      <c r="K5" t="e">
        <f>VLOOKUP($A5,'A Main Database'!$A:$R,11,0)</f>
        <v>#N/A</v>
      </c>
      <c r="L5" t="e">
        <f>VLOOKUP($A5,'A Main Database'!$A:$R,12,0)</f>
        <v>#N/A</v>
      </c>
      <c r="M5" t="e">
        <f>VLOOKUP($A5,'A Main Database'!$A:$R,13,0)</f>
        <v>#N/A</v>
      </c>
      <c r="N5" t="e">
        <f>VLOOKUP($A5,'A Main Database'!$A:$R,14,0)</f>
        <v>#N/A</v>
      </c>
      <c r="O5" t="e">
        <f>VLOOKUP($A5,'A Main Database'!$A:$R,15,0)</f>
        <v>#N/A</v>
      </c>
      <c r="P5" s="6" t="e">
        <f>VLOOKUP($A5,'A Main Database'!$A:$R,16,0)</f>
        <v>#N/A</v>
      </c>
      <c r="Q5" t="e">
        <f>VLOOKUP($A5,'A Main Database'!$A:$R,17,0)</f>
        <v>#N/A</v>
      </c>
      <c r="R5" t="e">
        <f>VLOOKUP($A5,'A Main Database'!$A:$R,18,0)</f>
        <v>#N/A</v>
      </c>
      <c r="S5" t="e">
        <f>VLOOKUP($A5,'A Main Database'!$A:$R,19,0)</f>
        <v>#N/A</v>
      </c>
      <c r="U5" t="e">
        <f>VLOOKUP(B5,'A Main Database'!A:A,1,0)</f>
        <v>#N/A</v>
      </c>
      <c r="V5" t="e">
        <f>VLOOKUP(B5,'A Main Database'!I:I,1,0)</f>
        <v>#N/A</v>
      </c>
      <c r="W5" t="e">
        <f>VLOOKUP(B5,'A Main Database'!M:M,1,0)</f>
        <v>#N/A</v>
      </c>
      <c r="X5" t="e">
        <f>VLOOKUP(B5,'A Main Database'!P:P,1,0)</f>
        <v>#N/A</v>
      </c>
      <c r="Y5" t="s">
        <v>287</v>
      </c>
      <c r="Z5" t="s">
        <v>292</v>
      </c>
      <c r="AA5" t="str">
        <f>CONCATENATE(B5,Z5)</f>
        <v>http://411.ca/submit</v>
      </c>
    </row>
    <row r="6" spans="1:27" x14ac:dyDescent="0.25">
      <c r="A6" t="str">
        <f t="shared" si="0"/>
        <v>https://businessweek.directorym.com/submit</v>
      </c>
      <c r="B6" t="s">
        <v>109</v>
      </c>
      <c r="C6" s="4" t="e">
        <f>VLOOKUP($A6,'A Main Database'!$A:$R,3,0)</f>
        <v>#N/A</v>
      </c>
      <c r="D6" t="e">
        <f>VLOOKUP($A6,'A Main Database'!$A:$R,4,0)</f>
        <v>#N/A</v>
      </c>
      <c r="E6" t="e">
        <f>VLOOKUP($A6,'A Main Database'!$A:$R,5,0)</f>
        <v>#N/A</v>
      </c>
      <c r="F6" t="e">
        <f>VLOOKUP($A6,'A Main Database'!$A:$R,6,0)</f>
        <v>#N/A</v>
      </c>
      <c r="G6" t="e">
        <f>VLOOKUP($A6,'A Main Database'!$A:$R,7,0)</f>
        <v>#N/A</v>
      </c>
      <c r="H6" t="e">
        <f>VLOOKUP($A6,'A Main Database'!$A:$R,8,0)</f>
        <v>#N/A</v>
      </c>
      <c r="I6" t="e">
        <f>VLOOKUP($A6,'A Main Database'!$A:$R,9,0)</f>
        <v>#N/A</v>
      </c>
      <c r="J6" t="e">
        <f>VLOOKUP($A6,'A Main Database'!$A:$R,10,0)</f>
        <v>#N/A</v>
      </c>
      <c r="K6" t="e">
        <f>VLOOKUP($A6,'A Main Database'!$A:$R,11,0)</f>
        <v>#N/A</v>
      </c>
      <c r="L6" t="e">
        <f>VLOOKUP($A6,'A Main Database'!$A:$R,12,0)</f>
        <v>#N/A</v>
      </c>
      <c r="M6" t="e">
        <f>VLOOKUP($A6,'A Main Database'!$A:$R,13,0)</f>
        <v>#N/A</v>
      </c>
      <c r="N6" t="e">
        <f>VLOOKUP($A6,'A Main Database'!$A:$R,14,0)</f>
        <v>#N/A</v>
      </c>
      <c r="O6" t="e">
        <f>VLOOKUP($A6,'A Main Database'!$A:$R,15,0)</f>
        <v>#N/A</v>
      </c>
      <c r="P6" s="6" t="e">
        <f>VLOOKUP($A6,'A Main Database'!$A:$R,16,0)</f>
        <v>#N/A</v>
      </c>
      <c r="Q6" t="e">
        <f>VLOOKUP($A6,'A Main Database'!$A:$R,17,0)</f>
        <v>#N/A</v>
      </c>
      <c r="R6" t="e">
        <f>VLOOKUP($A6,'A Main Database'!$A:$R,18,0)</f>
        <v>#N/A</v>
      </c>
      <c r="S6" t="e">
        <f>VLOOKUP($A6,'A Main Database'!$A:$R,19,0)</f>
        <v>#N/A</v>
      </c>
      <c r="U6" t="e">
        <f>VLOOKUP(B6,'A Main Database'!A:A,1,0)</f>
        <v>#N/A</v>
      </c>
      <c r="V6" t="e">
        <f>VLOOKUP(B6,'A Main Database'!I:I,1,0)</f>
        <v>#N/A</v>
      </c>
      <c r="W6" t="e">
        <f>VLOOKUP(B6,'A Main Database'!M:M,1,0)</f>
        <v>#N/A</v>
      </c>
      <c r="X6" t="e">
        <f>VLOOKUP(B6,'A Main Database'!P:P,1,0)</f>
        <v>#N/A</v>
      </c>
      <c r="Y6" t="s">
        <v>287</v>
      </c>
      <c r="Z6" t="s">
        <v>292</v>
      </c>
      <c r="AA6" t="str">
        <f t="shared" ref="AA6:AA69" si="1">CONCATENATE(B6,Z6)</f>
        <v>https://businessweek.directorym.com/submit</v>
      </c>
    </row>
    <row r="7" spans="1:27" x14ac:dyDescent="0.25">
      <c r="A7" t="str">
        <f t="shared" si="0"/>
        <v>https://ca.geek-tools.org/submit</v>
      </c>
      <c r="B7" t="s">
        <v>110</v>
      </c>
      <c r="C7" s="4" t="e">
        <f>VLOOKUP($A7,'A Main Database'!$A:$R,3,0)</f>
        <v>#N/A</v>
      </c>
      <c r="D7" t="e">
        <f>VLOOKUP($A7,'A Main Database'!$A:$R,4,0)</f>
        <v>#N/A</v>
      </c>
      <c r="E7" t="e">
        <f>VLOOKUP($A7,'A Main Database'!$A:$R,5,0)</f>
        <v>#N/A</v>
      </c>
      <c r="F7" t="e">
        <f>VLOOKUP($A7,'A Main Database'!$A:$R,6,0)</f>
        <v>#N/A</v>
      </c>
      <c r="G7" t="e">
        <f>VLOOKUP($A7,'A Main Database'!$A:$R,7,0)</f>
        <v>#N/A</v>
      </c>
      <c r="H7" t="e">
        <f>VLOOKUP($A7,'A Main Database'!$A:$R,8,0)</f>
        <v>#N/A</v>
      </c>
      <c r="I7" t="e">
        <f>VLOOKUP($A7,'A Main Database'!$A:$R,9,0)</f>
        <v>#N/A</v>
      </c>
      <c r="J7" t="e">
        <f>VLOOKUP($A7,'A Main Database'!$A:$R,10,0)</f>
        <v>#N/A</v>
      </c>
      <c r="K7" t="e">
        <f>VLOOKUP($A7,'A Main Database'!$A:$R,11,0)</f>
        <v>#N/A</v>
      </c>
      <c r="L7" t="e">
        <f>VLOOKUP($A7,'A Main Database'!$A:$R,12,0)</f>
        <v>#N/A</v>
      </c>
      <c r="M7" t="e">
        <f>VLOOKUP($A7,'A Main Database'!$A:$R,13,0)</f>
        <v>#N/A</v>
      </c>
      <c r="N7" t="e">
        <f>VLOOKUP($A7,'A Main Database'!$A:$R,14,0)</f>
        <v>#N/A</v>
      </c>
      <c r="O7" t="e">
        <f>VLOOKUP($A7,'A Main Database'!$A:$R,15,0)</f>
        <v>#N/A</v>
      </c>
      <c r="P7" s="6" t="e">
        <f>VLOOKUP($A7,'A Main Database'!$A:$R,16,0)</f>
        <v>#N/A</v>
      </c>
      <c r="Q7" t="e">
        <f>VLOOKUP($A7,'A Main Database'!$A:$R,17,0)</f>
        <v>#N/A</v>
      </c>
      <c r="R7" t="e">
        <f>VLOOKUP($A7,'A Main Database'!$A:$R,18,0)</f>
        <v>#N/A</v>
      </c>
      <c r="S7" t="e">
        <f>VLOOKUP($A7,'A Main Database'!$A:$R,19,0)</f>
        <v>#N/A</v>
      </c>
      <c r="U7" t="e">
        <f>VLOOKUP(B7,'A Main Database'!A:A,1,0)</f>
        <v>#N/A</v>
      </c>
      <c r="V7" t="e">
        <f>VLOOKUP(B7,'A Main Database'!I:I,1,0)</f>
        <v>#N/A</v>
      </c>
      <c r="W7" t="e">
        <f>VLOOKUP(B7,'A Main Database'!M:M,1,0)</f>
        <v>#N/A</v>
      </c>
      <c r="X7" t="e">
        <f>VLOOKUP(B7,'A Main Database'!P:P,1,0)</f>
        <v>#N/A</v>
      </c>
      <c r="Y7" t="s">
        <v>287</v>
      </c>
      <c r="Z7" t="s">
        <v>292</v>
      </c>
      <c r="AA7" t="str">
        <f t="shared" si="1"/>
        <v>https://ca.geek-tools.org/submit</v>
      </c>
    </row>
    <row r="8" spans="1:27" x14ac:dyDescent="0.25">
      <c r="A8" t="str">
        <f t="shared" si="0"/>
        <v>http://can.ezilon.com/submit</v>
      </c>
      <c r="B8" t="s">
        <v>111</v>
      </c>
      <c r="C8" s="4" t="e">
        <f>VLOOKUP($A8,'A Main Database'!$A:$R,3,0)</f>
        <v>#N/A</v>
      </c>
      <c r="D8" t="e">
        <f>VLOOKUP($A8,'A Main Database'!$A:$R,4,0)</f>
        <v>#N/A</v>
      </c>
      <c r="E8" t="e">
        <f>VLOOKUP($A8,'A Main Database'!$A:$R,5,0)</f>
        <v>#N/A</v>
      </c>
      <c r="F8" t="e">
        <f>VLOOKUP($A8,'A Main Database'!$A:$R,6,0)</f>
        <v>#N/A</v>
      </c>
      <c r="G8" t="e">
        <f>VLOOKUP($A8,'A Main Database'!$A:$R,7,0)</f>
        <v>#N/A</v>
      </c>
      <c r="H8" t="e">
        <f>VLOOKUP($A8,'A Main Database'!$A:$R,8,0)</f>
        <v>#N/A</v>
      </c>
      <c r="I8" t="e">
        <f>VLOOKUP($A8,'A Main Database'!$A:$R,9,0)</f>
        <v>#N/A</v>
      </c>
      <c r="J8" t="e">
        <f>VLOOKUP($A8,'A Main Database'!$A:$R,10,0)</f>
        <v>#N/A</v>
      </c>
      <c r="K8" t="e">
        <f>VLOOKUP($A8,'A Main Database'!$A:$R,11,0)</f>
        <v>#N/A</v>
      </c>
      <c r="L8" t="e">
        <f>VLOOKUP($A8,'A Main Database'!$A:$R,12,0)</f>
        <v>#N/A</v>
      </c>
      <c r="M8" t="e">
        <f>VLOOKUP($A8,'A Main Database'!$A:$R,13,0)</f>
        <v>#N/A</v>
      </c>
      <c r="N8" t="e">
        <f>VLOOKUP($A8,'A Main Database'!$A:$R,14,0)</f>
        <v>#N/A</v>
      </c>
      <c r="O8" t="e">
        <f>VLOOKUP($A8,'A Main Database'!$A:$R,15,0)</f>
        <v>#N/A</v>
      </c>
      <c r="P8" s="6" t="e">
        <f>VLOOKUP($A8,'A Main Database'!$A:$R,16,0)</f>
        <v>#N/A</v>
      </c>
      <c r="Q8" t="e">
        <f>VLOOKUP($A8,'A Main Database'!$A:$R,17,0)</f>
        <v>#N/A</v>
      </c>
      <c r="R8" t="e">
        <f>VLOOKUP($A8,'A Main Database'!$A:$R,18,0)</f>
        <v>#N/A</v>
      </c>
      <c r="S8" t="e">
        <f>VLOOKUP($A8,'A Main Database'!$A:$R,19,0)</f>
        <v>#N/A</v>
      </c>
      <c r="U8" t="e">
        <f>VLOOKUP(B8,'A Main Database'!A:A,1,0)</f>
        <v>#N/A</v>
      </c>
      <c r="V8" t="e">
        <f>VLOOKUP(B8,'A Main Database'!I:I,1,0)</f>
        <v>#N/A</v>
      </c>
      <c r="W8" t="e">
        <f>VLOOKUP(B8,'A Main Database'!M:M,1,0)</f>
        <v>#N/A</v>
      </c>
      <c r="X8" t="e">
        <f>VLOOKUP(B8,'A Main Database'!P:P,1,0)</f>
        <v>#N/A</v>
      </c>
      <c r="Y8" t="s">
        <v>287</v>
      </c>
      <c r="Z8" t="s">
        <v>292</v>
      </c>
      <c r="AA8" t="str">
        <f t="shared" si="1"/>
        <v>http://can.ezilon.com/submit</v>
      </c>
    </row>
    <row r="9" spans="1:27" x14ac:dyDescent="0.25">
      <c r="A9" t="str">
        <f t="shared" si="0"/>
        <v>https://cdon.info/submit</v>
      </c>
      <c r="B9" t="s">
        <v>112</v>
      </c>
      <c r="C9" s="4" t="e">
        <f>VLOOKUP($A9,'A Main Database'!$A:$R,3,0)</f>
        <v>#N/A</v>
      </c>
      <c r="D9" t="e">
        <f>VLOOKUP($A9,'A Main Database'!$A:$R,4,0)</f>
        <v>#N/A</v>
      </c>
      <c r="E9" t="e">
        <f>VLOOKUP($A9,'A Main Database'!$A:$R,5,0)</f>
        <v>#N/A</v>
      </c>
      <c r="F9" t="e">
        <f>VLOOKUP($A9,'A Main Database'!$A:$R,6,0)</f>
        <v>#N/A</v>
      </c>
      <c r="G9" t="e">
        <f>VLOOKUP($A9,'A Main Database'!$A:$R,7,0)</f>
        <v>#N/A</v>
      </c>
      <c r="H9" t="e">
        <f>VLOOKUP($A9,'A Main Database'!$A:$R,8,0)</f>
        <v>#N/A</v>
      </c>
      <c r="I9" t="e">
        <f>VLOOKUP($A9,'A Main Database'!$A:$R,9,0)</f>
        <v>#N/A</v>
      </c>
      <c r="J9" t="e">
        <f>VLOOKUP($A9,'A Main Database'!$A:$R,10,0)</f>
        <v>#N/A</v>
      </c>
      <c r="K9" t="e">
        <f>VLOOKUP($A9,'A Main Database'!$A:$R,11,0)</f>
        <v>#N/A</v>
      </c>
      <c r="L9" t="e">
        <f>VLOOKUP($A9,'A Main Database'!$A:$R,12,0)</f>
        <v>#N/A</v>
      </c>
      <c r="M9" t="e">
        <f>VLOOKUP($A9,'A Main Database'!$A:$R,13,0)</f>
        <v>#N/A</v>
      </c>
      <c r="N9" t="e">
        <f>VLOOKUP($A9,'A Main Database'!$A:$R,14,0)</f>
        <v>#N/A</v>
      </c>
      <c r="O9" t="e">
        <f>VLOOKUP($A9,'A Main Database'!$A:$R,15,0)</f>
        <v>#N/A</v>
      </c>
      <c r="P9" s="6" t="e">
        <f>VLOOKUP($A9,'A Main Database'!$A:$R,16,0)</f>
        <v>#N/A</v>
      </c>
      <c r="Q9" t="e">
        <f>VLOOKUP($A9,'A Main Database'!$A:$R,17,0)</f>
        <v>#N/A</v>
      </c>
      <c r="R9" t="e">
        <f>VLOOKUP($A9,'A Main Database'!$A:$R,18,0)</f>
        <v>#N/A</v>
      </c>
      <c r="S9" t="e">
        <f>VLOOKUP($A9,'A Main Database'!$A:$R,19,0)</f>
        <v>#N/A</v>
      </c>
      <c r="U9" t="e">
        <f>VLOOKUP(B9,'A Main Database'!A:A,1,0)</f>
        <v>#N/A</v>
      </c>
      <c r="V9" t="e">
        <f>VLOOKUP(B9,'A Main Database'!I:I,1,0)</f>
        <v>#N/A</v>
      </c>
      <c r="W9" t="e">
        <f>VLOOKUP(B9,'A Main Database'!M:M,1,0)</f>
        <v>#N/A</v>
      </c>
      <c r="X9" t="e">
        <f>VLOOKUP(B9,'A Main Database'!P:P,1,0)</f>
        <v>#N/A</v>
      </c>
      <c r="Y9" t="s">
        <v>287</v>
      </c>
      <c r="Z9" t="s">
        <v>292</v>
      </c>
      <c r="AA9" t="str">
        <f t="shared" si="1"/>
        <v>https://cdon.info/submit</v>
      </c>
    </row>
    <row r="10" spans="1:27" x14ac:dyDescent="0.25">
      <c r="A10" t="str">
        <f t="shared" si="0"/>
        <v>http://cleaning.intently.co/submit</v>
      </c>
      <c r="B10" t="s">
        <v>113</v>
      </c>
      <c r="C10" s="4" t="e">
        <f>VLOOKUP($A10,'A Main Database'!$A:$R,3,0)</f>
        <v>#N/A</v>
      </c>
      <c r="D10" t="e">
        <f>VLOOKUP($A10,'A Main Database'!$A:$R,4,0)</f>
        <v>#N/A</v>
      </c>
      <c r="E10" t="e">
        <f>VLOOKUP($A10,'A Main Database'!$A:$R,5,0)</f>
        <v>#N/A</v>
      </c>
      <c r="F10" t="e">
        <f>VLOOKUP($A10,'A Main Database'!$A:$R,6,0)</f>
        <v>#N/A</v>
      </c>
      <c r="G10" t="e">
        <f>VLOOKUP($A10,'A Main Database'!$A:$R,7,0)</f>
        <v>#N/A</v>
      </c>
      <c r="H10" t="e">
        <f>VLOOKUP($A10,'A Main Database'!$A:$R,8,0)</f>
        <v>#N/A</v>
      </c>
      <c r="I10" t="e">
        <f>VLOOKUP($A10,'A Main Database'!$A:$R,9,0)</f>
        <v>#N/A</v>
      </c>
      <c r="J10" t="e">
        <f>VLOOKUP($A10,'A Main Database'!$A:$R,10,0)</f>
        <v>#N/A</v>
      </c>
      <c r="K10" t="e">
        <f>VLOOKUP($A10,'A Main Database'!$A:$R,11,0)</f>
        <v>#N/A</v>
      </c>
      <c r="L10" t="e">
        <f>VLOOKUP($A10,'A Main Database'!$A:$R,12,0)</f>
        <v>#N/A</v>
      </c>
      <c r="M10" t="e">
        <f>VLOOKUP($A10,'A Main Database'!$A:$R,13,0)</f>
        <v>#N/A</v>
      </c>
      <c r="N10" t="e">
        <f>VLOOKUP($A10,'A Main Database'!$A:$R,14,0)</f>
        <v>#N/A</v>
      </c>
      <c r="O10" t="e">
        <f>VLOOKUP($A10,'A Main Database'!$A:$R,15,0)</f>
        <v>#N/A</v>
      </c>
      <c r="P10" s="6" t="e">
        <f>VLOOKUP($A10,'A Main Database'!$A:$R,16,0)</f>
        <v>#N/A</v>
      </c>
      <c r="Q10" t="e">
        <f>VLOOKUP($A10,'A Main Database'!$A:$R,17,0)</f>
        <v>#N/A</v>
      </c>
      <c r="R10" t="e">
        <f>VLOOKUP($A10,'A Main Database'!$A:$R,18,0)</f>
        <v>#N/A</v>
      </c>
      <c r="S10" t="e">
        <f>VLOOKUP($A10,'A Main Database'!$A:$R,19,0)</f>
        <v>#N/A</v>
      </c>
      <c r="U10" t="e">
        <f>VLOOKUP(B10,'A Main Database'!A:A,1,0)</f>
        <v>#N/A</v>
      </c>
      <c r="V10" t="e">
        <f>VLOOKUP(B10,'A Main Database'!I:I,1,0)</f>
        <v>#N/A</v>
      </c>
      <c r="W10" t="e">
        <f>VLOOKUP(B10,'A Main Database'!M:M,1,0)</f>
        <v>#N/A</v>
      </c>
      <c r="X10" t="e">
        <f>VLOOKUP(B10,'A Main Database'!P:P,1,0)</f>
        <v>#N/A</v>
      </c>
      <c r="Y10" t="s">
        <v>287</v>
      </c>
      <c r="Z10" t="s">
        <v>292</v>
      </c>
      <c r="AA10" t="str">
        <f t="shared" si="1"/>
        <v>http://cleaning.intently.co/submit</v>
      </c>
    </row>
    <row r="11" spans="1:27" x14ac:dyDescent="0.25">
      <c r="A11" t="str">
        <f t="shared" si="0"/>
        <v>https://www.cleaningcompanygortova.blogspot.com/submit</v>
      </c>
      <c r="B11" t="s">
        <v>114</v>
      </c>
      <c r="C11" s="4" t="e">
        <f>VLOOKUP($A11,'A Main Database'!$A:$R,3,0)</f>
        <v>#N/A</v>
      </c>
      <c r="D11" t="e">
        <f>VLOOKUP($A11,'A Main Database'!$A:$R,4,0)</f>
        <v>#N/A</v>
      </c>
      <c r="E11" t="e">
        <f>VLOOKUP($A11,'A Main Database'!$A:$R,5,0)</f>
        <v>#N/A</v>
      </c>
      <c r="F11" t="e">
        <f>VLOOKUP($A11,'A Main Database'!$A:$R,6,0)</f>
        <v>#N/A</v>
      </c>
      <c r="G11" t="e">
        <f>VLOOKUP($A11,'A Main Database'!$A:$R,7,0)</f>
        <v>#N/A</v>
      </c>
      <c r="H11" t="e">
        <f>VLOOKUP($A11,'A Main Database'!$A:$R,8,0)</f>
        <v>#N/A</v>
      </c>
      <c r="I11" t="e">
        <f>VLOOKUP($A11,'A Main Database'!$A:$R,9,0)</f>
        <v>#N/A</v>
      </c>
      <c r="J11" t="e">
        <f>VLOOKUP($A11,'A Main Database'!$A:$R,10,0)</f>
        <v>#N/A</v>
      </c>
      <c r="K11" t="e">
        <f>VLOOKUP($A11,'A Main Database'!$A:$R,11,0)</f>
        <v>#N/A</v>
      </c>
      <c r="L11" t="e">
        <f>VLOOKUP($A11,'A Main Database'!$A:$R,12,0)</f>
        <v>#N/A</v>
      </c>
      <c r="M11" t="e">
        <f>VLOOKUP($A11,'A Main Database'!$A:$R,13,0)</f>
        <v>#N/A</v>
      </c>
      <c r="N11" t="e">
        <f>VLOOKUP($A11,'A Main Database'!$A:$R,14,0)</f>
        <v>#N/A</v>
      </c>
      <c r="O11" t="e">
        <f>VLOOKUP($A11,'A Main Database'!$A:$R,15,0)</f>
        <v>#N/A</v>
      </c>
      <c r="P11" s="6" t="e">
        <f>VLOOKUP($A11,'A Main Database'!$A:$R,16,0)</f>
        <v>#N/A</v>
      </c>
      <c r="Q11" t="e">
        <f>VLOOKUP($A11,'A Main Database'!$A:$R,17,0)</f>
        <v>#N/A</v>
      </c>
      <c r="R11" t="e">
        <f>VLOOKUP($A11,'A Main Database'!$A:$R,18,0)</f>
        <v>#N/A</v>
      </c>
      <c r="S11" t="e">
        <f>VLOOKUP($A11,'A Main Database'!$A:$R,19,0)</f>
        <v>#N/A</v>
      </c>
      <c r="U11" t="e">
        <f>VLOOKUP(B11,'A Main Database'!A:A,1,0)</f>
        <v>#N/A</v>
      </c>
      <c r="V11" t="e">
        <f>VLOOKUP(B11,'A Main Database'!I:I,1,0)</f>
        <v>#N/A</v>
      </c>
      <c r="W11" t="e">
        <f>VLOOKUP(B11,'A Main Database'!M:M,1,0)</f>
        <v>#N/A</v>
      </c>
      <c r="X11" t="e">
        <f>VLOOKUP(B11,'A Main Database'!P:P,1,0)</f>
        <v>#N/A</v>
      </c>
      <c r="Y11" t="s">
        <v>287</v>
      </c>
      <c r="Z11" t="s">
        <v>292</v>
      </c>
      <c r="AA11" t="str">
        <f t="shared" si="1"/>
        <v>https://www.cleaningcompanygortova.blogspot.com/submit</v>
      </c>
    </row>
    <row r="12" spans="1:27" x14ac:dyDescent="0.25">
      <c r="A12" t="str">
        <f t="shared" si="0"/>
        <v>https://cleaningjobanokako.blogspot.com/submit</v>
      </c>
      <c r="B12" t="s">
        <v>115</v>
      </c>
      <c r="C12" s="4" t="e">
        <f>VLOOKUP($A12,'A Main Database'!$A:$R,3,0)</f>
        <v>#N/A</v>
      </c>
      <c r="D12" t="e">
        <f>VLOOKUP($A12,'A Main Database'!$A:$R,4,0)</f>
        <v>#N/A</v>
      </c>
      <c r="E12" t="e">
        <f>VLOOKUP($A12,'A Main Database'!$A:$R,5,0)</f>
        <v>#N/A</v>
      </c>
      <c r="F12" t="e">
        <f>VLOOKUP($A12,'A Main Database'!$A:$R,6,0)</f>
        <v>#N/A</v>
      </c>
      <c r="G12" t="e">
        <f>VLOOKUP($A12,'A Main Database'!$A:$R,7,0)</f>
        <v>#N/A</v>
      </c>
      <c r="H12" t="e">
        <f>VLOOKUP($A12,'A Main Database'!$A:$R,8,0)</f>
        <v>#N/A</v>
      </c>
      <c r="I12" t="e">
        <f>VLOOKUP($A12,'A Main Database'!$A:$R,9,0)</f>
        <v>#N/A</v>
      </c>
      <c r="J12" t="e">
        <f>VLOOKUP($A12,'A Main Database'!$A:$R,10,0)</f>
        <v>#N/A</v>
      </c>
      <c r="K12" t="e">
        <f>VLOOKUP($A12,'A Main Database'!$A:$R,11,0)</f>
        <v>#N/A</v>
      </c>
      <c r="L12" t="e">
        <f>VLOOKUP($A12,'A Main Database'!$A:$R,12,0)</f>
        <v>#N/A</v>
      </c>
      <c r="M12" t="e">
        <f>VLOOKUP($A12,'A Main Database'!$A:$R,13,0)</f>
        <v>#N/A</v>
      </c>
      <c r="N12" t="e">
        <f>VLOOKUP($A12,'A Main Database'!$A:$R,14,0)</f>
        <v>#N/A</v>
      </c>
      <c r="O12" t="e">
        <f>VLOOKUP($A12,'A Main Database'!$A:$R,15,0)</f>
        <v>#N/A</v>
      </c>
      <c r="P12" s="6" t="e">
        <f>VLOOKUP($A12,'A Main Database'!$A:$R,16,0)</f>
        <v>#N/A</v>
      </c>
      <c r="Q12" t="e">
        <f>VLOOKUP($A12,'A Main Database'!$A:$R,17,0)</f>
        <v>#N/A</v>
      </c>
      <c r="R12" t="e">
        <f>VLOOKUP($A12,'A Main Database'!$A:$R,18,0)</f>
        <v>#N/A</v>
      </c>
      <c r="S12" t="e">
        <f>VLOOKUP($A12,'A Main Database'!$A:$R,19,0)</f>
        <v>#N/A</v>
      </c>
      <c r="U12" t="e">
        <f>VLOOKUP(B12,'A Main Database'!A:A,1,0)</f>
        <v>#N/A</v>
      </c>
      <c r="V12" t="e">
        <f>VLOOKUP(B12,'A Main Database'!I:I,1,0)</f>
        <v>#N/A</v>
      </c>
      <c r="W12" t="e">
        <f>VLOOKUP(B12,'A Main Database'!M:M,1,0)</f>
        <v>#N/A</v>
      </c>
      <c r="X12" t="e">
        <f>VLOOKUP(B12,'A Main Database'!P:P,1,0)</f>
        <v>#N/A</v>
      </c>
      <c r="Y12" t="s">
        <v>287</v>
      </c>
      <c r="Z12" t="s">
        <v>292</v>
      </c>
      <c r="AA12" t="str">
        <f t="shared" si="1"/>
        <v>https://cleaningjobanokako.blogspot.com/submit</v>
      </c>
    </row>
    <row r="13" spans="1:27" x14ac:dyDescent="0.25">
      <c r="A13" t="str">
        <f t="shared" si="0"/>
        <v>http://cleaningjobporongi.blogspot.com/submit</v>
      </c>
      <c r="B13" t="s">
        <v>116</v>
      </c>
      <c r="C13" s="4" t="e">
        <f>VLOOKUP($A13,'A Main Database'!$A:$R,3,0)</f>
        <v>#N/A</v>
      </c>
      <c r="D13" t="e">
        <f>VLOOKUP($A13,'A Main Database'!$A:$R,4,0)</f>
        <v>#N/A</v>
      </c>
      <c r="E13" t="e">
        <f>VLOOKUP($A13,'A Main Database'!$A:$R,5,0)</f>
        <v>#N/A</v>
      </c>
      <c r="F13" t="e">
        <f>VLOOKUP($A13,'A Main Database'!$A:$R,6,0)</f>
        <v>#N/A</v>
      </c>
      <c r="G13" t="e">
        <f>VLOOKUP($A13,'A Main Database'!$A:$R,7,0)</f>
        <v>#N/A</v>
      </c>
      <c r="H13" t="e">
        <f>VLOOKUP($A13,'A Main Database'!$A:$R,8,0)</f>
        <v>#N/A</v>
      </c>
      <c r="I13" t="e">
        <f>VLOOKUP($A13,'A Main Database'!$A:$R,9,0)</f>
        <v>#N/A</v>
      </c>
      <c r="J13" t="e">
        <f>VLOOKUP($A13,'A Main Database'!$A:$R,10,0)</f>
        <v>#N/A</v>
      </c>
      <c r="K13" t="e">
        <f>VLOOKUP($A13,'A Main Database'!$A:$R,11,0)</f>
        <v>#N/A</v>
      </c>
      <c r="L13" t="e">
        <f>VLOOKUP($A13,'A Main Database'!$A:$R,12,0)</f>
        <v>#N/A</v>
      </c>
      <c r="M13" t="e">
        <f>VLOOKUP($A13,'A Main Database'!$A:$R,13,0)</f>
        <v>#N/A</v>
      </c>
      <c r="N13" t="e">
        <f>VLOOKUP($A13,'A Main Database'!$A:$R,14,0)</f>
        <v>#N/A</v>
      </c>
      <c r="O13" t="e">
        <f>VLOOKUP($A13,'A Main Database'!$A:$R,15,0)</f>
        <v>#N/A</v>
      </c>
      <c r="P13" s="6" t="e">
        <f>VLOOKUP($A13,'A Main Database'!$A:$R,16,0)</f>
        <v>#N/A</v>
      </c>
      <c r="Q13" t="e">
        <f>VLOOKUP($A13,'A Main Database'!$A:$R,17,0)</f>
        <v>#N/A</v>
      </c>
      <c r="R13" t="e">
        <f>VLOOKUP($A13,'A Main Database'!$A:$R,18,0)</f>
        <v>#N/A</v>
      </c>
      <c r="S13" t="e">
        <f>VLOOKUP($A13,'A Main Database'!$A:$R,19,0)</f>
        <v>#N/A</v>
      </c>
      <c r="U13" t="e">
        <f>VLOOKUP(B13,'A Main Database'!A:A,1,0)</f>
        <v>#N/A</v>
      </c>
      <c r="V13" t="e">
        <f>VLOOKUP(B13,'A Main Database'!I:I,1,0)</f>
        <v>#N/A</v>
      </c>
      <c r="W13" t="e">
        <f>VLOOKUP(B13,'A Main Database'!M:M,1,0)</f>
        <v>#N/A</v>
      </c>
      <c r="X13" t="e">
        <f>VLOOKUP(B13,'A Main Database'!P:P,1,0)</f>
        <v>#N/A</v>
      </c>
      <c r="Y13" t="s">
        <v>287</v>
      </c>
      <c r="Z13" t="s">
        <v>292</v>
      </c>
      <c r="AA13" t="str">
        <f t="shared" si="1"/>
        <v>http://cleaningjobporongi.blogspot.com/submit</v>
      </c>
    </row>
    <row r="14" spans="1:27" x14ac:dyDescent="0.25">
      <c r="A14" t="str">
        <f t="shared" si="0"/>
        <v>https://cleaningjobsgornik.blogspot.com/submit</v>
      </c>
      <c r="B14" t="s">
        <v>117</v>
      </c>
      <c r="C14" s="4" t="e">
        <f>VLOOKUP($A14,'A Main Database'!$A:$R,3,0)</f>
        <v>#N/A</v>
      </c>
      <c r="D14" t="e">
        <f>VLOOKUP($A14,'A Main Database'!$A:$R,4,0)</f>
        <v>#N/A</v>
      </c>
      <c r="E14" t="e">
        <f>VLOOKUP($A14,'A Main Database'!$A:$R,5,0)</f>
        <v>#N/A</v>
      </c>
      <c r="F14" t="e">
        <f>VLOOKUP($A14,'A Main Database'!$A:$R,6,0)</f>
        <v>#N/A</v>
      </c>
      <c r="G14" t="e">
        <f>VLOOKUP($A14,'A Main Database'!$A:$R,7,0)</f>
        <v>#N/A</v>
      </c>
      <c r="H14" t="e">
        <f>VLOOKUP($A14,'A Main Database'!$A:$R,8,0)</f>
        <v>#N/A</v>
      </c>
      <c r="I14" t="e">
        <f>VLOOKUP($A14,'A Main Database'!$A:$R,9,0)</f>
        <v>#N/A</v>
      </c>
      <c r="J14" t="e">
        <f>VLOOKUP($A14,'A Main Database'!$A:$R,10,0)</f>
        <v>#N/A</v>
      </c>
      <c r="K14" t="e">
        <f>VLOOKUP($A14,'A Main Database'!$A:$R,11,0)</f>
        <v>#N/A</v>
      </c>
      <c r="L14" t="e">
        <f>VLOOKUP($A14,'A Main Database'!$A:$R,12,0)</f>
        <v>#N/A</v>
      </c>
      <c r="M14" t="e">
        <f>VLOOKUP($A14,'A Main Database'!$A:$R,13,0)</f>
        <v>#N/A</v>
      </c>
      <c r="N14" t="e">
        <f>VLOOKUP($A14,'A Main Database'!$A:$R,14,0)</f>
        <v>#N/A</v>
      </c>
      <c r="O14" t="e">
        <f>VLOOKUP($A14,'A Main Database'!$A:$R,15,0)</f>
        <v>#N/A</v>
      </c>
      <c r="P14" s="6" t="e">
        <f>VLOOKUP($A14,'A Main Database'!$A:$R,16,0)</f>
        <v>#N/A</v>
      </c>
      <c r="Q14" t="e">
        <f>VLOOKUP($A14,'A Main Database'!$A:$R,17,0)</f>
        <v>#N/A</v>
      </c>
      <c r="R14" t="e">
        <f>VLOOKUP($A14,'A Main Database'!$A:$R,18,0)</f>
        <v>#N/A</v>
      </c>
      <c r="S14" t="e">
        <f>VLOOKUP($A14,'A Main Database'!$A:$R,19,0)</f>
        <v>#N/A</v>
      </c>
      <c r="U14" t="e">
        <f>VLOOKUP(B14,'A Main Database'!A:A,1,0)</f>
        <v>#N/A</v>
      </c>
      <c r="V14" t="e">
        <f>VLOOKUP(B14,'A Main Database'!I:I,1,0)</f>
        <v>#N/A</v>
      </c>
      <c r="W14" t="e">
        <f>VLOOKUP(B14,'A Main Database'!M:M,1,0)</f>
        <v>#N/A</v>
      </c>
      <c r="X14" t="e">
        <f>VLOOKUP(B14,'A Main Database'!P:P,1,0)</f>
        <v>#N/A</v>
      </c>
      <c r="Y14" t="s">
        <v>287</v>
      </c>
      <c r="Z14" t="s">
        <v>292</v>
      </c>
      <c r="AA14" t="str">
        <f t="shared" si="1"/>
        <v>https://cleaningjobsgornik.blogspot.com/submit</v>
      </c>
    </row>
    <row r="15" spans="1:27" x14ac:dyDescent="0.25">
      <c r="A15" t="str">
        <f t="shared" si="0"/>
        <v>http://cleaningserviceemiwazayo.blogspot.com/submit</v>
      </c>
      <c r="B15" t="s">
        <v>118</v>
      </c>
      <c r="C15" s="4" t="e">
        <f>VLOOKUP($A15,'A Main Database'!$A:$R,3,0)</f>
        <v>#N/A</v>
      </c>
      <c r="D15" t="e">
        <f>VLOOKUP($A15,'A Main Database'!$A:$R,4,0)</f>
        <v>#N/A</v>
      </c>
      <c r="E15" t="e">
        <f>VLOOKUP($A15,'A Main Database'!$A:$R,5,0)</f>
        <v>#N/A</v>
      </c>
      <c r="F15" t="e">
        <f>VLOOKUP($A15,'A Main Database'!$A:$R,6,0)</f>
        <v>#N/A</v>
      </c>
      <c r="G15" t="e">
        <f>VLOOKUP($A15,'A Main Database'!$A:$R,7,0)</f>
        <v>#N/A</v>
      </c>
      <c r="H15" t="e">
        <f>VLOOKUP($A15,'A Main Database'!$A:$R,8,0)</f>
        <v>#N/A</v>
      </c>
      <c r="I15" t="e">
        <f>VLOOKUP($A15,'A Main Database'!$A:$R,9,0)</f>
        <v>#N/A</v>
      </c>
      <c r="J15" t="e">
        <f>VLOOKUP($A15,'A Main Database'!$A:$R,10,0)</f>
        <v>#N/A</v>
      </c>
      <c r="K15" t="e">
        <f>VLOOKUP($A15,'A Main Database'!$A:$R,11,0)</f>
        <v>#N/A</v>
      </c>
      <c r="L15" t="e">
        <f>VLOOKUP($A15,'A Main Database'!$A:$R,12,0)</f>
        <v>#N/A</v>
      </c>
      <c r="M15" t="e">
        <f>VLOOKUP($A15,'A Main Database'!$A:$R,13,0)</f>
        <v>#N/A</v>
      </c>
      <c r="N15" t="e">
        <f>VLOOKUP($A15,'A Main Database'!$A:$R,14,0)</f>
        <v>#N/A</v>
      </c>
      <c r="O15" t="e">
        <f>VLOOKUP($A15,'A Main Database'!$A:$R,15,0)</f>
        <v>#N/A</v>
      </c>
      <c r="P15" s="6" t="e">
        <f>VLOOKUP($A15,'A Main Database'!$A:$R,16,0)</f>
        <v>#N/A</v>
      </c>
      <c r="Q15" t="e">
        <f>VLOOKUP($A15,'A Main Database'!$A:$R,17,0)</f>
        <v>#N/A</v>
      </c>
      <c r="R15" t="e">
        <f>VLOOKUP($A15,'A Main Database'!$A:$R,18,0)</f>
        <v>#N/A</v>
      </c>
      <c r="S15" t="e">
        <f>VLOOKUP($A15,'A Main Database'!$A:$R,19,0)</f>
        <v>#N/A</v>
      </c>
      <c r="U15" t="e">
        <f>VLOOKUP(B15,'A Main Database'!A:A,1,0)</f>
        <v>#N/A</v>
      </c>
      <c r="V15" t="e">
        <f>VLOOKUP(B15,'A Main Database'!I:I,1,0)</f>
        <v>#N/A</v>
      </c>
      <c r="W15" t="e">
        <f>VLOOKUP(B15,'A Main Database'!M:M,1,0)</f>
        <v>#N/A</v>
      </c>
      <c r="X15" t="e">
        <f>VLOOKUP(B15,'A Main Database'!P:P,1,0)</f>
        <v>#N/A</v>
      </c>
      <c r="Y15" t="s">
        <v>287</v>
      </c>
      <c r="Z15" t="s">
        <v>292</v>
      </c>
      <c r="AA15" t="str">
        <f t="shared" si="1"/>
        <v>http://cleaningserviceemiwazayo.blogspot.com/submit</v>
      </c>
    </row>
    <row r="16" spans="1:27" x14ac:dyDescent="0.25">
      <c r="A16" t="str">
        <f t="shared" si="0"/>
        <v>www.cleaningserviceshobaika.blogspot.com/submit</v>
      </c>
      <c r="B16" t="s">
        <v>119</v>
      </c>
      <c r="C16" s="4" t="e">
        <f>VLOOKUP($A16,'A Main Database'!$A:$R,3,0)</f>
        <v>#N/A</v>
      </c>
      <c r="D16" t="e">
        <f>VLOOKUP($A16,'A Main Database'!$A:$R,4,0)</f>
        <v>#N/A</v>
      </c>
      <c r="E16" t="e">
        <f>VLOOKUP($A16,'A Main Database'!$A:$R,5,0)</f>
        <v>#N/A</v>
      </c>
      <c r="F16" t="e">
        <f>VLOOKUP($A16,'A Main Database'!$A:$R,6,0)</f>
        <v>#N/A</v>
      </c>
      <c r="G16" t="e">
        <f>VLOOKUP($A16,'A Main Database'!$A:$R,7,0)</f>
        <v>#N/A</v>
      </c>
      <c r="H16" t="e">
        <f>VLOOKUP($A16,'A Main Database'!$A:$R,8,0)</f>
        <v>#N/A</v>
      </c>
      <c r="I16" t="e">
        <f>VLOOKUP($A16,'A Main Database'!$A:$R,9,0)</f>
        <v>#N/A</v>
      </c>
      <c r="J16" t="e">
        <f>VLOOKUP($A16,'A Main Database'!$A:$R,10,0)</f>
        <v>#N/A</v>
      </c>
      <c r="K16" t="e">
        <f>VLOOKUP($A16,'A Main Database'!$A:$R,11,0)</f>
        <v>#N/A</v>
      </c>
      <c r="L16" t="e">
        <f>VLOOKUP($A16,'A Main Database'!$A:$R,12,0)</f>
        <v>#N/A</v>
      </c>
      <c r="M16" t="e">
        <f>VLOOKUP($A16,'A Main Database'!$A:$R,13,0)</f>
        <v>#N/A</v>
      </c>
      <c r="N16" t="e">
        <f>VLOOKUP($A16,'A Main Database'!$A:$R,14,0)</f>
        <v>#N/A</v>
      </c>
      <c r="O16" t="e">
        <f>VLOOKUP($A16,'A Main Database'!$A:$R,15,0)</f>
        <v>#N/A</v>
      </c>
      <c r="P16" s="6" t="e">
        <f>VLOOKUP($A16,'A Main Database'!$A:$R,16,0)</f>
        <v>#N/A</v>
      </c>
      <c r="Q16" t="e">
        <f>VLOOKUP($A16,'A Main Database'!$A:$R,17,0)</f>
        <v>#N/A</v>
      </c>
      <c r="R16" t="e">
        <f>VLOOKUP($A16,'A Main Database'!$A:$R,18,0)</f>
        <v>#N/A</v>
      </c>
      <c r="S16" t="e">
        <f>VLOOKUP($A16,'A Main Database'!$A:$R,19,0)</f>
        <v>#N/A</v>
      </c>
      <c r="U16" t="e">
        <f>VLOOKUP(B16,'A Main Database'!A:A,1,0)</f>
        <v>#N/A</v>
      </c>
      <c r="V16" t="e">
        <f>VLOOKUP(B16,'A Main Database'!I:I,1,0)</f>
        <v>#N/A</v>
      </c>
      <c r="W16" t="e">
        <f>VLOOKUP(B16,'A Main Database'!M:M,1,0)</f>
        <v>#N/A</v>
      </c>
      <c r="X16" t="e">
        <f>VLOOKUP(B16,'A Main Database'!P:P,1,0)</f>
        <v>#N/A</v>
      </c>
      <c r="Y16" t="s">
        <v>287</v>
      </c>
      <c r="Z16" t="s">
        <v>292</v>
      </c>
      <c r="AA16" t="str">
        <f t="shared" si="1"/>
        <v>www.cleaningserviceshobaika.blogspot.com/submit</v>
      </c>
    </row>
    <row r="17" spans="1:27" x14ac:dyDescent="0.25">
      <c r="A17" t="str">
        <f t="shared" si="0"/>
        <v>https://cleaningserviceskomarila.blogspot.com/submit</v>
      </c>
      <c r="B17" t="s">
        <v>120</v>
      </c>
      <c r="C17" s="4" t="e">
        <f>VLOOKUP($A17,'A Main Database'!$A:$R,3,0)</f>
        <v>#N/A</v>
      </c>
      <c r="D17" t="e">
        <f>VLOOKUP($A17,'A Main Database'!$A:$R,4,0)</f>
        <v>#N/A</v>
      </c>
      <c r="E17" t="e">
        <f>VLOOKUP($A17,'A Main Database'!$A:$R,5,0)</f>
        <v>#N/A</v>
      </c>
      <c r="F17" t="e">
        <f>VLOOKUP($A17,'A Main Database'!$A:$R,6,0)</f>
        <v>#N/A</v>
      </c>
      <c r="G17" t="e">
        <f>VLOOKUP($A17,'A Main Database'!$A:$R,7,0)</f>
        <v>#N/A</v>
      </c>
      <c r="H17" t="e">
        <f>VLOOKUP($A17,'A Main Database'!$A:$R,8,0)</f>
        <v>#N/A</v>
      </c>
      <c r="I17" t="e">
        <f>VLOOKUP($A17,'A Main Database'!$A:$R,9,0)</f>
        <v>#N/A</v>
      </c>
      <c r="J17" t="e">
        <f>VLOOKUP($A17,'A Main Database'!$A:$R,10,0)</f>
        <v>#N/A</v>
      </c>
      <c r="K17" t="e">
        <f>VLOOKUP($A17,'A Main Database'!$A:$R,11,0)</f>
        <v>#N/A</v>
      </c>
      <c r="L17" t="e">
        <f>VLOOKUP($A17,'A Main Database'!$A:$R,12,0)</f>
        <v>#N/A</v>
      </c>
      <c r="M17" t="e">
        <f>VLOOKUP($A17,'A Main Database'!$A:$R,13,0)</f>
        <v>#N/A</v>
      </c>
      <c r="N17" t="e">
        <f>VLOOKUP($A17,'A Main Database'!$A:$R,14,0)</f>
        <v>#N/A</v>
      </c>
      <c r="O17" t="e">
        <f>VLOOKUP($A17,'A Main Database'!$A:$R,15,0)</f>
        <v>#N/A</v>
      </c>
      <c r="P17" s="6" t="e">
        <f>VLOOKUP($A17,'A Main Database'!$A:$R,16,0)</f>
        <v>#N/A</v>
      </c>
      <c r="Q17" t="e">
        <f>VLOOKUP($A17,'A Main Database'!$A:$R,17,0)</f>
        <v>#N/A</v>
      </c>
      <c r="R17" t="e">
        <f>VLOOKUP($A17,'A Main Database'!$A:$R,18,0)</f>
        <v>#N/A</v>
      </c>
      <c r="S17" t="e">
        <f>VLOOKUP($A17,'A Main Database'!$A:$R,19,0)</f>
        <v>#N/A</v>
      </c>
      <c r="U17" t="e">
        <f>VLOOKUP(B17,'A Main Database'!A:A,1,0)</f>
        <v>#N/A</v>
      </c>
      <c r="V17" t="e">
        <f>VLOOKUP(B17,'A Main Database'!I:I,1,0)</f>
        <v>#N/A</v>
      </c>
      <c r="W17" t="e">
        <f>VLOOKUP(B17,'A Main Database'!M:M,1,0)</f>
        <v>#N/A</v>
      </c>
      <c r="X17" t="e">
        <f>VLOOKUP(B17,'A Main Database'!P:P,1,0)</f>
        <v>#N/A</v>
      </c>
      <c r="Y17" t="s">
        <v>287</v>
      </c>
      <c r="Z17" t="s">
        <v>292</v>
      </c>
      <c r="AA17" t="str">
        <f t="shared" si="1"/>
        <v>https://cleaningserviceskomarila.blogspot.com/submit</v>
      </c>
    </row>
    <row r="18" spans="1:27" x14ac:dyDescent="0.25">
      <c r="A18" t="str">
        <f t="shared" si="0"/>
        <v>http://cleaningservicezapad.blogspot.com/submit</v>
      </c>
      <c r="B18" t="s">
        <v>121</v>
      </c>
      <c r="C18" s="4" t="e">
        <f>VLOOKUP($A18,'A Main Database'!$A:$R,3,0)</f>
        <v>#N/A</v>
      </c>
      <c r="D18" t="e">
        <f>VLOOKUP($A18,'A Main Database'!$A:$R,4,0)</f>
        <v>#N/A</v>
      </c>
      <c r="E18" t="e">
        <f>VLOOKUP($A18,'A Main Database'!$A:$R,5,0)</f>
        <v>#N/A</v>
      </c>
      <c r="F18" t="e">
        <f>VLOOKUP($A18,'A Main Database'!$A:$R,6,0)</f>
        <v>#N/A</v>
      </c>
      <c r="G18" t="e">
        <f>VLOOKUP($A18,'A Main Database'!$A:$R,7,0)</f>
        <v>#N/A</v>
      </c>
      <c r="H18" t="e">
        <f>VLOOKUP($A18,'A Main Database'!$A:$R,8,0)</f>
        <v>#N/A</v>
      </c>
      <c r="I18" t="e">
        <f>VLOOKUP($A18,'A Main Database'!$A:$R,9,0)</f>
        <v>#N/A</v>
      </c>
      <c r="J18" t="e">
        <f>VLOOKUP($A18,'A Main Database'!$A:$R,10,0)</f>
        <v>#N/A</v>
      </c>
      <c r="K18" t="e">
        <f>VLOOKUP($A18,'A Main Database'!$A:$R,11,0)</f>
        <v>#N/A</v>
      </c>
      <c r="L18" t="e">
        <f>VLOOKUP($A18,'A Main Database'!$A:$R,12,0)</f>
        <v>#N/A</v>
      </c>
      <c r="M18" t="e">
        <f>VLOOKUP($A18,'A Main Database'!$A:$R,13,0)</f>
        <v>#N/A</v>
      </c>
      <c r="N18" t="e">
        <f>VLOOKUP($A18,'A Main Database'!$A:$R,14,0)</f>
        <v>#N/A</v>
      </c>
      <c r="O18" t="e">
        <f>VLOOKUP($A18,'A Main Database'!$A:$R,15,0)</f>
        <v>#N/A</v>
      </c>
      <c r="P18" s="6" t="e">
        <f>VLOOKUP($A18,'A Main Database'!$A:$R,16,0)</f>
        <v>#N/A</v>
      </c>
      <c r="Q18" t="e">
        <f>VLOOKUP($A18,'A Main Database'!$A:$R,17,0)</f>
        <v>#N/A</v>
      </c>
      <c r="R18" t="e">
        <f>VLOOKUP($A18,'A Main Database'!$A:$R,18,0)</f>
        <v>#N/A</v>
      </c>
      <c r="S18" t="e">
        <f>VLOOKUP($A18,'A Main Database'!$A:$R,19,0)</f>
        <v>#N/A</v>
      </c>
      <c r="U18" t="e">
        <f>VLOOKUP(B18,'A Main Database'!A:A,1,0)</f>
        <v>#N/A</v>
      </c>
      <c r="V18" t="e">
        <f>VLOOKUP(B18,'A Main Database'!I:I,1,0)</f>
        <v>#N/A</v>
      </c>
      <c r="W18" t="e">
        <f>VLOOKUP(B18,'A Main Database'!M:M,1,0)</f>
        <v>#N/A</v>
      </c>
      <c r="X18" t="e">
        <f>VLOOKUP(B18,'A Main Database'!P:P,1,0)</f>
        <v>#N/A</v>
      </c>
      <c r="Y18" t="s">
        <v>287</v>
      </c>
      <c r="Z18" t="s">
        <v>292</v>
      </c>
      <c r="AA18" t="str">
        <f t="shared" si="1"/>
        <v>http://cleaningservicezapad.blogspot.com/submit</v>
      </c>
    </row>
    <row r="19" spans="1:27" x14ac:dyDescent="0.25">
      <c r="A19" t="str">
        <f t="shared" si="0"/>
        <v>https://www.commercialcleaningenindeki.blogspot.com/submit</v>
      </c>
      <c r="B19" t="s">
        <v>122</v>
      </c>
      <c r="C19" s="4" t="e">
        <f>VLOOKUP($A19,'A Main Database'!$A:$R,3,0)</f>
        <v>#N/A</v>
      </c>
      <c r="D19" t="e">
        <f>VLOOKUP($A19,'A Main Database'!$A:$R,4,0)</f>
        <v>#N/A</v>
      </c>
      <c r="E19" t="e">
        <f>VLOOKUP($A19,'A Main Database'!$A:$R,5,0)</f>
        <v>#N/A</v>
      </c>
      <c r="F19" t="e">
        <f>VLOOKUP($A19,'A Main Database'!$A:$R,6,0)</f>
        <v>#N/A</v>
      </c>
      <c r="G19" t="e">
        <f>VLOOKUP($A19,'A Main Database'!$A:$R,7,0)</f>
        <v>#N/A</v>
      </c>
      <c r="H19" t="e">
        <f>VLOOKUP($A19,'A Main Database'!$A:$R,8,0)</f>
        <v>#N/A</v>
      </c>
      <c r="I19" t="e">
        <f>VLOOKUP($A19,'A Main Database'!$A:$R,9,0)</f>
        <v>#N/A</v>
      </c>
      <c r="J19" t="e">
        <f>VLOOKUP($A19,'A Main Database'!$A:$R,10,0)</f>
        <v>#N/A</v>
      </c>
      <c r="K19" t="e">
        <f>VLOOKUP($A19,'A Main Database'!$A:$R,11,0)</f>
        <v>#N/A</v>
      </c>
      <c r="L19" t="e">
        <f>VLOOKUP($A19,'A Main Database'!$A:$R,12,0)</f>
        <v>#N/A</v>
      </c>
      <c r="M19" t="e">
        <f>VLOOKUP($A19,'A Main Database'!$A:$R,13,0)</f>
        <v>#N/A</v>
      </c>
      <c r="N19" t="e">
        <f>VLOOKUP($A19,'A Main Database'!$A:$R,14,0)</f>
        <v>#N/A</v>
      </c>
      <c r="O19" t="e">
        <f>VLOOKUP($A19,'A Main Database'!$A:$R,15,0)</f>
        <v>#N/A</v>
      </c>
      <c r="P19" s="6" t="e">
        <f>VLOOKUP($A19,'A Main Database'!$A:$R,16,0)</f>
        <v>#N/A</v>
      </c>
      <c r="Q19" t="e">
        <f>VLOOKUP($A19,'A Main Database'!$A:$R,17,0)</f>
        <v>#N/A</v>
      </c>
      <c r="R19" t="e">
        <f>VLOOKUP($A19,'A Main Database'!$A:$R,18,0)</f>
        <v>#N/A</v>
      </c>
      <c r="S19" t="e">
        <f>VLOOKUP($A19,'A Main Database'!$A:$R,19,0)</f>
        <v>#N/A</v>
      </c>
      <c r="U19" t="e">
        <f>VLOOKUP(B19,'A Main Database'!A:A,1,0)</f>
        <v>#N/A</v>
      </c>
      <c r="V19" t="e">
        <f>VLOOKUP(B19,'A Main Database'!I:I,1,0)</f>
        <v>#N/A</v>
      </c>
      <c r="W19" t="e">
        <f>VLOOKUP(B19,'A Main Database'!M:M,1,0)</f>
        <v>#N/A</v>
      </c>
      <c r="X19" t="e">
        <f>VLOOKUP(B19,'A Main Database'!P:P,1,0)</f>
        <v>#N/A</v>
      </c>
      <c r="Y19" t="s">
        <v>287</v>
      </c>
      <c r="Z19" t="s">
        <v>292</v>
      </c>
      <c r="AA19" t="str">
        <f t="shared" si="1"/>
        <v>https://www.commercialcleaningenindeki.blogspot.com/submit</v>
      </c>
    </row>
    <row r="20" spans="1:27" x14ac:dyDescent="0.25">
      <c r="A20" t="str">
        <f t="shared" si="0"/>
        <v>https://commercialcleaningpersiki.blogspot.com/submit</v>
      </c>
      <c r="B20" t="s">
        <v>123</v>
      </c>
      <c r="C20" s="4" t="e">
        <f>VLOOKUP($A20,'A Main Database'!$A:$R,3,0)</f>
        <v>#N/A</v>
      </c>
      <c r="D20" t="e">
        <f>VLOOKUP($A20,'A Main Database'!$A:$R,4,0)</f>
        <v>#N/A</v>
      </c>
      <c r="E20" t="e">
        <f>VLOOKUP($A20,'A Main Database'!$A:$R,5,0)</f>
        <v>#N/A</v>
      </c>
      <c r="F20" t="e">
        <f>VLOOKUP($A20,'A Main Database'!$A:$R,6,0)</f>
        <v>#N/A</v>
      </c>
      <c r="G20" t="e">
        <f>VLOOKUP($A20,'A Main Database'!$A:$R,7,0)</f>
        <v>#N/A</v>
      </c>
      <c r="H20" t="e">
        <f>VLOOKUP($A20,'A Main Database'!$A:$R,8,0)</f>
        <v>#N/A</v>
      </c>
      <c r="I20" t="e">
        <f>VLOOKUP($A20,'A Main Database'!$A:$R,9,0)</f>
        <v>#N/A</v>
      </c>
      <c r="J20" t="e">
        <f>VLOOKUP($A20,'A Main Database'!$A:$R,10,0)</f>
        <v>#N/A</v>
      </c>
      <c r="K20" t="e">
        <f>VLOOKUP($A20,'A Main Database'!$A:$R,11,0)</f>
        <v>#N/A</v>
      </c>
      <c r="L20" t="e">
        <f>VLOOKUP($A20,'A Main Database'!$A:$R,12,0)</f>
        <v>#N/A</v>
      </c>
      <c r="M20" t="e">
        <f>VLOOKUP($A20,'A Main Database'!$A:$R,13,0)</f>
        <v>#N/A</v>
      </c>
      <c r="N20" t="e">
        <f>VLOOKUP($A20,'A Main Database'!$A:$R,14,0)</f>
        <v>#N/A</v>
      </c>
      <c r="O20" t="e">
        <f>VLOOKUP($A20,'A Main Database'!$A:$R,15,0)</f>
        <v>#N/A</v>
      </c>
      <c r="P20" s="6" t="e">
        <f>VLOOKUP($A20,'A Main Database'!$A:$R,16,0)</f>
        <v>#N/A</v>
      </c>
      <c r="Q20" t="e">
        <f>VLOOKUP($A20,'A Main Database'!$A:$R,17,0)</f>
        <v>#N/A</v>
      </c>
      <c r="R20" t="e">
        <f>VLOOKUP($A20,'A Main Database'!$A:$R,18,0)</f>
        <v>#N/A</v>
      </c>
      <c r="S20" t="e">
        <f>VLOOKUP($A20,'A Main Database'!$A:$R,19,0)</f>
        <v>#N/A</v>
      </c>
      <c r="U20" t="e">
        <f>VLOOKUP(B20,'A Main Database'!A:A,1,0)</f>
        <v>#N/A</v>
      </c>
      <c r="V20" t="e">
        <f>VLOOKUP(B20,'A Main Database'!I:I,1,0)</f>
        <v>#N/A</v>
      </c>
      <c r="W20" t="e">
        <f>VLOOKUP(B20,'A Main Database'!M:M,1,0)</f>
        <v>#N/A</v>
      </c>
      <c r="X20" t="e">
        <f>VLOOKUP(B20,'A Main Database'!P:P,1,0)</f>
        <v>#N/A</v>
      </c>
      <c r="Y20" t="s">
        <v>287</v>
      </c>
      <c r="Z20" t="s">
        <v>292</v>
      </c>
      <c r="AA20" t="str">
        <f t="shared" si="1"/>
        <v>https://commercialcleaningpersiki.blogspot.com/submit</v>
      </c>
    </row>
    <row r="21" spans="1:27" x14ac:dyDescent="0.25">
      <c r="A21" t="str">
        <f t="shared" si="0"/>
        <v>https://commercialcleaningserviceskirosora.blogspot.com/submit</v>
      </c>
      <c r="B21" t="s">
        <v>124</v>
      </c>
      <c r="C21" s="4" t="e">
        <f>VLOOKUP($A21,'A Main Database'!$A:$R,3,0)</f>
        <v>#N/A</v>
      </c>
      <c r="D21" t="e">
        <f>VLOOKUP($A21,'A Main Database'!$A:$R,4,0)</f>
        <v>#N/A</v>
      </c>
      <c r="E21" t="e">
        <f>VLOOKUP($A21,'A Main Database'!$A:$R,5,0)</f>
        <v>#N/A</v>
      </c>
      <c r="F21" t="e">
        <f>VLOOKUP($A21,'A Main Database'!$A:$R,6,0)</f>
        <v>#N/A</v>
      </c>
      <c r="G21" t="e">
        <f>VLOOKUP($A21,'A Main Database'!$A:$R,7,0)</f>
        <v>#N/A</v>
      </c>
      <c r="H21" t="e">
        <f>VLOOKUP($A21,'A Main Database'!$A:$R,8,0)</f>
        <v>#N/A</v>
      </c>
      <c r="I21" t="e">
        <f>VLOOKUP($A21,'A Main Database'!$A:$R,9,0)</f>
        <v>#N/A</v>
      </c>
      <c r="J21" t="e">
        <f>VLOOKUP($A21,'A Main Database'!$A:$R,10,0)</f>
        <v>#N/A</v>
      </c>
      <c r="K21" t="e">
        <f>VLOOKUP($A21,'A Main Database'!$A:$R,11,0)</f>
        <v>#N/A</v>
      </c>
      <c r="L21" t="e">
        <f>VLOOKUP($A21,'A Main Database'!$A:$R,12,0)</f>
        <v>#N/A</v>
      </c>
      <c r="M21" t="e">
        <f>VLOOKUP($A21,'A Main Database'!$A:$R,13,0)</f>
        <v>#N/A</v>
      </c>
      <c r="N21" t="e">
        <f>VLOOKUP($A21,'A Main Database'!$A:$R,14,0)</f>
        <v>#N/A</v>
      </c>
      <c r="O21" t="e">
        <f>VLOOKUP($A21,'A Main Database'!$A:$R,15,0)</f>
        <v>#N/A</v>
      </c>
      <c r="P21" s="6" t="e">
        <f>VLOOKUP($A21,'A Main Database'!$A:$R,16,0)</f>
        <v>#N/A</v>
      </c>
      <c r="Q21" t="e">
        <f>VLOOKUP($A21,'A Main Database'!$A:$R,17,0)</f>
        <v>#N/A</v>
      </c>
      <c r="R21" t="e">
        <f>VLOOKUP($A21,'A Main Database'!$A:$R,18,0)</f>
        <v>#N/A</v>
      </c>
      <c r="S21" t="e">
        <f>VLOOKUP($A21,'A Main Database'!$A:$R,19,0)</f>
        <v>#N/A</v>
      </c>
      <c r="U21" t="e">
        <f>VLOOKUP(B21,'A Main Database'!A:A,1,0)</f>
        <v>#N/A</v>
      </c>
      <c r="V21" t="e">
        <f>VLOOKUP(B21,'A Main Database'!I:I,1,0)</f>
        <v>#N/A</v>
      </c>
      <c r="W21" t="e">
        <f>VLOOKUP(B21,'A Main Database'!M:M,1,0)</f>
        <v>#N/A</v>
      </c>
      <c r="X21" t="e">
        <f>VLOOKUP(B21,'A Main Database'!P:P,1,0)</f>
        <v>#N/A</v>
      </c>
      <c r="Y21" t="s">
        <v>287</v>
      </c>
      <c r="Z21" t="s">
        <v>292</v>
      </c>
      <c r="AA21" t="str">
        <f t="shared" si="1"/>
        <v>https://commercialcleaningserviceskirosora.blogspot.com/submit</v>
      </c>
    </row>
    <row r="22" spans="1:27" x14ac:dyDescent="0.25">
      <c r="A22" t="str">
        <f t="shared" si="0"/>
        <v>https://www.commercialconstructionfumihogo.blogspot.com/submit</v>
      </c>
      <c r="B22" t="s">
        <v>125</v>
      </c>
      <c r="C22" s="4" t="e">
        <f>VLOOKUP($A22,'A Main Database'!$A:$R,3,0)</f>
        <v>#N/A</v>
      </c>
      <c r="D22" t="e">
        <f>VLOOKUP($A22,'A Main Database'!$A:$R,4,0)</f>
        <v>#N/A</v>
      </c>
      <c r="E22" t="e">
        <f>VLOOKUP($A22,'A Main Database'!$A:$R,5,0)</f>
        <v>#N/A</v>
      </c>
      <c r="F22" t="e">
        <f>VLOOKUP($A22,'A Main Database'!$A:$R,6,0)</f>
        <v>#N/A</v>
      </c>
      <c r="G22" t="e">
        <f>VLOOKUP($A22,'A Main Database'!$A:$R,7,0)</f>
        <v>#N/A</v>
      </c>
      <c r="H22" t="e">
        <f>VLOOKUP($A22,'A Main Database'!$A:$R,8,0)</f>
        <v>#N/A</v>
      </c>
      <c r="I22" t="e">
        <f>VLOOKUP($A22,'A Main Database'!$A:$R,9,0)</f>
        <v>#N/A</v>
      </c>
      <c r="J22" t="e">
        <f>VLOOKUP($A22,'A Main Database'!$A:$R,10,0)</f>
        <v>#N/A</v>
      </c>
      <c r="K22" t="e">
        <f>VLOOKUP($A22,'A Main Database'!$A:$R,11,0)</f>
        <v>#N/A</v>
      </c>
      <c r="L22" t="e">
        <f>VLOOKUP($A22,'A Main Database'!$A:$R,12,0)</f>
        <v>#N/A</v>
      </c>
      <c r="M22" t="e">
        <f>VLOOKUP($A22,'A Main Database'!$A:$R,13,0)</f>
        <v>#N/A</v>
      </c>
      <c r="N22" t="e">
        <f>VLOOKUP($A22,'A Main Database'!$A:$R,14,0)</f>
        <v>#N/A</v>
      </c>
      <c r="O22" t="e">
        <f>VLOOKUP($A22,'A Main Database'!$A:$R,15,0)</f>
        <v>#N/A</v>
      </c>
      <c r="P22" s="6" t="e">
        <f>VLOOKUP($A22,'A Main Database'!$A:$R,16,0)</f>
        <v>#N/A</v>
      </c>
      <c r="Q22" t="e">
        <f>VLOOKUP($A22,'A Main Database'!$A:$R,17,0)</f>
        <v>#N/A</v>
      </c>
      <c r="R22" t="e">
        <f>VLOOKUP($A22,'A Main Database'!$A:$R,18,0)</f>
        <v>#N/A</v>
      </c>
      <c r="S22" t="e">
        <f>VLOOKUP($A22,'A Main Database'!$A:$R,19,0)</f>
        <v>#N/A</v>
      </c>
      <c r="U22" t="e">
        <f>VLOOKUP(B22,'A Main Database'!A:A,1,0)</f>
        <v>#N/A</v>
      </c>
      <c r="V22" t="e">
        <f>VLOOKUP(B22,'A Main Database'!I:I,1,0)</f>
        <v>#N/A</v>
      </c>
      <c r="W22" t="e">
        <f>VLOOKUP(B22,'A Main Database'!M:M,1,0)</f>
        <v>#N/A</v>
      </c>
      <c r="X22" t="e">
        <f>VLOOKUP(B22,'A Main Database'!P:P,1,0)</f>
        <v>#N/A</v>
      </c>
      <c r="Y22" t="s">
        <v>287</v>
      </c>
      <c r="Z22" t="s">
        <v>292</v>
      </c>
      <c r="AA22" t="str">
        <f t="shared" si="1"/>
        <v>https://www.commercialconstructionfumihogo.blogspot.com/submit</v>
      </c>
    </row>
    <row r="23" spans="1:27" x14ac:dyDescent="0.25">
      <c r="A23" t="str">
        <f t="shared" si="0"/>
        <v>http://companyontop.com/submit</v>
      </c>
      <c r="B23" t="s">
        <v>126</v>
      </c>
      <c r="C23" s="4" t="e">
        <f>VLOOKUP($A23,'A Main Database'!$A:$R,3,0)</f>
        <v>#N/A</v>
      </c>
      <c r="D23" t="e">
        <f>VLOOKUP($A23,'A Main Database'!$A:$R,4,0)</f>
        <v>#N/A</v>
      </c>
      <c r="E23" t="e">
        <f>VLOOKUP($A23,'A Main Database'!$A:$R,5,0)</f>
        <v>#N/A</v>
      </c>
      <c r="F23" t="e">
        <f>VLOOKUP($A23,'A Main Database'!$A:$R,6,0)</f>
        <v>#N/A</v>
      </c>
      <c r="G23" t="e">
        <f>VLOOKUP($A23,'A Main Database'!$A:$R,7,0)</f>
        <v>#N/A</v>
      </c>
      <c r="H23" t="e">
        <f>VLOOKUP($A23,'A Main Database'!$A:$R,8,0)</f>
        <v>#N/A</v>
      </c>
      <c r="I23" t="e">
        <f>VLOOKUP($A23,'A Main Database'!$A:$R,9,0)</f>
        <v>#N/A</v>
      </c>
      <c r="J23" t="e">
        <f>VLOOKUP($A23,'A Main Database'!$A:$R,10,0)</f>
        <v>#N/A</v>
      </c>
      <c r="K23" t="e">
        <f>VLOOKUP($A23,'A Main Database'!$A:$R,11,0)</f>
        <v>#N/A</v>
      </c>
      <c r="L23" t="e">
        <f>VLOOKUP($A23,'A Main Database'!$A:$R,12,0)</f>
        <v>#N/A</v>
      </c>
      <c r="M23" t="e">
        <f>VLOOKUP($A23,'A Main Database'!$A:$R,13,0)</f>
        <v>#N/A</v>
      </c>
      <c r="N23" t="e">
        <f>VLOOKUP($A23,'A Main Database'!$A:$R,14,0)</f>
        <v>#N/A</v>
      </c>
      <c r="O23" t="e">
        <f>VLOOKUP($A23,'A Main Database'!$A:$R,15,0)</f>
        <v>#N/A</v>
      </c>
      <c r="P23" s="6" t="e">
        <f>VLOOKUP($A23,'A Main Database'!$A:$R,16,0)</f>
        <v>#N/A</v>
      </c>
      <c r="Q23" t="e">
        <f>VLOOKUP($A23,'A Main Database'!$A:$R,17,0)</f>
        <v>#N/A</v>
      </c>
      <c r="R23" t="e">
        <f>VLOOKUP($A23,'A Main Database'!$A:$R,18,0)</f>
        <v>#N/A</v>
      </c>
      <c r="S23" t="e">
        <f>VLOOKUP($A23,'A Main Database'!$A:$R,19,0)</f>
        <v>#N/A</v>
      </c>
      <c r="U23" t="e">
        <f>VLOOKUP(B23,'A Main Database'!A:A,1,0)</f>
        <v>#N/A</v>
      </c>
      <c r="V23" t="e">
        <f>VLOOKUP(B23,'A Main Database'!I:I,1,0)</f>
        <v>#N/A</v>
      </c>
      <c r="W23" t="e">
        <f>VLOOKUP(B23,'A Main Database'!M:M,1,0)</f>
        <v>#N/A</v>
      </c>
      <c r="X23" t="e">
        <f>VLOOKUP(B23,'A Main Database'!P:P,1,0)</f>
        <v>#N/A</v>
      </c>
      <c r="Y23" t="s">
        <v>287</v>
      </c>
      <c r="Z23" t="s">
        <v>292</v>
      </c>
      <c r="AA23" t="str">
        <f t="shared" si="1"/>
        <v>http://companyontop.com/submit</v>
      </c>
    </row>
    <row r="24" spans="1:27" x14ac:dyDescent="0.25">
      <c r="A24" t="str">
        <f t="shared" si="0"/>
        <v>www.constructionjobmoinpa.blogspot.com/submit</v>
      </c>
      <c r="B24" t="s">
        <v>127</v>
      </c>
      <c r="C24" s="4" t="e">
        <f>VLOOKUP($A24,'A Main Database'!$A:$R,3,0)</f>
        <v>#N/A</v>
      </c>
      <c r="D24" t="e">
        <f>VLOOKUP($A24,'A Main Database'!$A:$R,4,0)</f>
        <v>#N/A</v>
      </c>
      <c r="E24" t="e">
        <f>VLOOKUP($A24,'A Main Database'!$A:$R,5,0)</f>
        <v>#N/A</v>
      </c>
      <c r="F24" t="e">
        <f>VLOOKUP($A24,'A Main Database'!$A:$R,6,0)</f>
        <v>#N/A</v>
      </c>
      <c r="G24" t="e">
        <f>VLOOKUP($A24,'A Main Database'!$A:$R,7,0)</f>
        <v>#N/A</v>
      </c>
      <c r="H24" t="e">
        <f>VLOOKUP($A24,'A Main Database'!$A:$R,8,0)</f>
        <v>#N/A</v>
      </c>
      <c r="I24" t="e">
        <f>VLOOKUP($A24,'A Main Database'!$A:$R,9,0)</f>
        <v>#N/A</v>
      </c>
      <c r="J24" t="e">
        <f>VLOOKUP($A24,'A Main Database'!$A:$R,10,0)</f>
        <v>#N/A</v>
      </c>
      <c r="K24" t="e">
        <f>VLOOKUP($A24,'A Main Database'!$A:$R,11,0)</f>
        <v>#N/A</v>
      </c>
      <c r="L24" t="e">
        <f>VLOOKUP($A24,'A Main Database'!$A:$R,12,0)</f>
        <v>#N/A</v>
      </c>
      <c r="M24" t="e">
        <f>VLOOKUP($A24,'A Main Database'!$A:$R,13,0)</f>
        <v>#N/A</v>
      </c>
      <c r="N24" t="e">
        <f>VLOOKUP($A24,'A Main Database'!$A:$R,14,0)</f>
        <v>#N/A</v>
      </c>
      <c r="O24" t="e">
        <f>VLOOKUP($A24,'A Main Database'!$A:$R,15,0)</f>
        <v>#N/A</v>
      </c>
      <c r="P24" s="6" t="e">
        <f>VLOOKUP($A24,'A Main Database'!$A:$R,16,0)</f>
        <v>#N/A</v>
      </c>
      <c r="Q24" t="e">
        <f>VLOOKUP($A24,'A Main Database'!$A:$R,17,0)</f>
        <v>#N/A</v>
      </c>
      <c r="R24" t="e">
        <f>VLOOKUP($A24,'A Main Database'!$A:$R,18,0)</f>
        <v>#N/A</v>
      </c>
      <c r="S24" t="e">
        <f>VLOOKUP($A24,'A Main Database'!$A:$R,19,0)</f>
        <v>#N/A</v>
      </c>
      <c r="U24" t="e">
        <f>VLOOKUP(B24,'A Main Database'!A:A,1,0)</f>
        <v>#N/A</v>
      </c>
      <c r="V24" t="e">
        <f>VLOOKUP(B24,'A Main Database'!I:I,1,0)</f>
        <v>#N/A</v>
      </c>
      <c r="W24" t="e">
        <f>VLOOKUP(B24,'A Main Database'!M:M,1,0)</f>
        <v>#N/A</v>
      </c>
      <c r="X24" t="e">
        <f>VLOOKUP(B24,'A Main Database'!P:P,1,0)</f>
        <v>#N/A</v>
      </c>
      <c r="Y24" t="s">
        <v>287</v>
      </c>
      <c r="Z24" t="s">
        <v>292</v>
      </c>
      <c r="AA24" t="str">
        <f t="shared" si="1"/>
        <v>www.constructionjobmoinpa.blogspot.com/submit</v>
      </c>
    </row>
    <row r="25" spans="1:27" x14ac:dyDescent="0.25">
      <c r="A25" t="str">
        <f t="shared" si="0"/>
        <v>dirpopulus.org/submit</v>
      </c>
      <c r="B25" t="s">
        <v>39</v>
      </c>
      <c r="C25" s="4" t="e">
        <f>VLOOKUP($A25,'A Main Database'!$A:$R,3,0)</f>
        <v>#N/A</v>
      </c>
      <c r="D25" t="e">
        <f>VLOOKUP($A25,'A Main Database'!$A:$R,4,0)</f>
        <v>#N/A</v>
      </c>
      <c r="E25" t="e">
        <f>VLOOKUP($A25,'A Main Database'!$A:$R,5,0)</f>
        <v>#N/A</v>
      </c>
      <c r="F25" t="e">
        <f>VLOOKUP($A25,'A Main Database'!$A:$R,6,0)</f>
        <v>#N/A</v>
      </c>
      <c r="G25" t="e">
        <f>VLOOKUP($A25,'A Main Database'!$A:$R,7,0)</f>
        <v>#N/A</v>
      </c>
      <c r="H25" t="e">
        <f>VLOOKUP($A25,'A Main Database'!$A:$R,8,0)</f>
        <v>#N/A</v>
      </c>
      <c r="I25" t="e">
        <f>VLOOKUP($A25,'A Main Database'!$A:$R,9,0)</f>
        <v>#N/A</v>
      </c>
      <c r="J25" t="e">
        <f>VLOOKUP($A25,'A Main Database'!$A:$R,10,0)</f>
        <v>#N/A</v>
      </c>
      <c r="K25" t="e">
        <f>VLOOKUP($A25,'A Main Database'!$A:$R,11,0)</f>
        <v>#N/A</v>
      </c>
      <c r="L25" t="e">
        <f>VLOOKUP($A25,'A Main Database'!$A:$R,12,0)</f>
        <v>#N/A</v>
      </c>
      <c r="M25" t="e">
        <f>VLOOKUP($A25,'A Main Database'!$A:$R,13,0)</f>
        <v>#N/A</v>
      </c>
      <c r="N25" t="e">
        <f>VLOOKUP($A25,'A Main Database'!$A:$R,14,0)</f>
        <v>#N/A</v>
      </c>
      <c r="O25" t="e">
        <f>VLOOKUP($A25,'A Main Database'!$A:$R,15,0)</f>
        <v>#N/A</v>
      </c>
      <c r="P25" s="6" t="e">
        <f>VLOOKUP($A25,'A Main Database'!$A:$R,16,0)</f>
        <v>#N/A</v>
      </c>
      <c r="Q25" t="e">
        <f>VLOOKUP($A25,'A Main Database'!$A:$R,17,0)</f>
        <v>#N/A</v>
      </c>
      <c r="R25" t="e">
        <f>VLOOKUP($A25,'A Main Database'!$A:$R,18,0)</f>
        <v>#N/A</v>
      </c>
      <c r="S25" t="e">
        <f>VLOOKUP($A25,'A Main Database'!$A:$R,19,0)</f>
        <v>#N/A</v>
      </c>
      <c r="U25" t="str">
        <f>VLOOKUP(B25,'A Main Database'!A:A,1,0)</f>
        <v>dirpopulus.org</v>
      </c>
      <c r="V25" t="e">
        <f>VLOOKUP(B25,'A Main Database'!I:I,1,0)</f>
        <v>#N/A</v>
      </c>
      <c r="W25" t="e">
        <f>VLOOKUP(B25,'A Main Database'!M:M,1,0)</f>
        <v>#N/A</v>
      </c>
      <c r="X25" t="e">
        <f>VLOOKUP(B25,'A Main Database'!P:P,1,0)</f>
        <v>#N/A</v>
      </c>
      <c r="Y25" t="s">
        <v>128</v>
      </c>
      <c r="Z25" t="s">
        <v>292</v>
      </c>
      <c r="AA25" t="str">
        <f t="shared" si="1"/>
        <v>dirpopulus.org/submit</v>
      </c>
    </row>
    <row r="26" spans="1:27" x14ac:dyDescent="0.25">
      <c r="A26" t="str">
        <f t="shared" si="0"/>
        <v>firstfollower.com/submit</v>
      </c>
      <c r="B26" t="s">
        <v>40</v>
      </c>
      <c r="C26" s="4" t="e">
        <f>VLOOKUP($A26,'A Main Database'!$A:$R,3,0)</f>
        <v>#N/A</v>
      </c>
      <c r="D26" t="e">
        <f>VLOOKUP($A26,'A Main Database'!$A:$R,4,0)</f>
        <v>#N/A</v>
      </c>
      <c r="E26" t="e">
        <f>VLOOKUP($A26,'A Main Database'!$A:$R,5,0)</f>
        <v>#N/A</v>
      </c>
      <c r="F26" t="e">
        <f>VLOOKUP($A26,'A Main Database'!$A:$R,6,0)</f>
        <v>#N/A</v>
      </c>
      <c r="G26" t="e">
        <f>VLOOKUP($A26,'A Main Database'!$A:$R,7,0)</f>
        <v>#N/A</v>
      </c>
      <c r="H26" t="e">
        <f>VLOOKUP($A26,'A Main Database'!$A:$R,8,0)</f>
        <v>#N/A</v>
      </c>
      <c r="I26" t="e">
        <f>VLOOKUP($A26,'A Main Database'!$A:$R,9,0)</f>
        <v>#N/A</v>
      </c>
      <c r="J26" t="e">
        <f>VLOOKUP($A26,'A Main Database'!$A:$R,10,0)</f>
        <v>#N/A</v>
      </c>
      <c r="K26" t="e">
        <f>VLOOKUP($A26,'A Main Database'!$A:$R,11,0)</f>
        <v>#N/A</v>
      </c>
      <c r="L26" t="e">
        <f>VLOOKUP($A26,'A Main Database'!$A:$R,12,0)</f>
        <v>#N/A</v>
      </c>
      <c r="M26" t="e">
        <f>VLOOKUP($A26,'A Main Database'!$A:$R,13,0)</f>
        <v>#N/A</v>
      </c>
      <c r="N26" t="e">
        <f>VLOOKUP($A26,'A Main Database'!$A:$R,14,0)</f>
        <v>#N/A</v>
      </c>
      <c r="O26" t="e">
        <f>VLOOKUP($A26,'A Main Database'!$A:$R,15,0)</f>
        <v>#N/A</v>
      </c>
      <c r="P26" s="6" t="e">
        <f>VLOOKUP($A26,'A Main Database'!$A:$R,16,0)</f>
        <v>#N/A</v>
      </c>
      <c r="Q26" t="e">
        <f>VLOOKUP($A26,'A Main Database'!$A:$R,17,0)</f>
        <v>#N/A</v>
      </c>
      <c r="R26" t="e">
        <f>VLOOKUP($A26,'A Main Database'!$A:$R,18,0)</f>
        <v>#N/A</v>
      </c>
      <c r="S26" t="e">
        <f>VLOOKUP($A26,'A Main Database'!$A:$R,19,0)</f>
        <v>#N/A</v>
      </c>
      <c r="U26" t="str">
        <f>VLOOKUP(B26,'A Main Database'!A:A,1,0)</f>
        <v>firstfollower.com</v>
      </c>
      <c r="V26" t="e">
        <f>VLOOKUP(B26,'A Main Database'!I:I,1,0)</f>
        <v>#N/A</v>
      </c>
      <c r="W26" t="e">
        <f>VLOOKUP(B26,'A Main Database'!M:M,1,0)</f>
        <v>#N/A</v>
      </c>
      <c r="X26" t="e">
        <f>VLOOKUP(B26,'A Main Database'!P:P,1,0)</f>
        <v>#N/A</v>
      </c>
      <c r="Y26" t="s">
        <v>128</v>
      </c>
      <c r="Z26" t="s">
        <v>292</v>
      </c>
      <c r="AA26" t="str">
        <f t="shared" si="1"/>
        <v>firstfollower.com/submit</v>
      </c>
    </row>
    <row r="27" spans="1:27" x14ac:dyDescent="0.25">
      <c r="A27" t="str">
        <f t="shared" si="0"/>
        <v>housecleaningbester.blogspot.com/submit</v>
      </c>
      <c r="B27" t="s">
        <v>41</v>
      </c>
      <c r="C27" s="4" t="e">
        <f>VLOOKUP($A27,'A Main Database'!$A:$R,3,0)</f>
        <v>#N/A</v>
      </c>
      <c r="D27" t="e">
        <f>VLOOKUP($A27,'A Main Database'!$A:$R,4,0)</f>
        <v>#N/A</v>
      </c>
      <c r="E27" t="e">
        <f>VLOOKUP($A27,'A Main Database'!$A:$R,5,0)</f>
        <v>#N/A</v>
      </c>
      <c r="F27" t="e">
        <f>VLOOKUP($A27,'A Main Database'!$A:$R,6,0)</f>
        <v>#N/A</v>
      </c>
      <c r="G27" t="e">
        <f>VLOOKUP($A27,'A Main Database'!$A:$R,7,0)</f>
        <v>#N/A</v>
      </c>
      <c r="H27" t="e">
        <f>VLOOKUP($A27,'A Main Database'!$A:$R,8,0)</f>
        <v>#N/A</v>
      </c>
      <c r="I27" t="e">
        <f>VLOOKUP($A27,'A Main Database'!$A:$R,9,0)</f>
        <v>#N/A</v>
      </c>
      <c r="J27" t="e">
        <f>VLOOKUP($A27,'A Main Database'!$A:$R,10,0)</f>
        <v>#N/A</v>
      </c>
      <c r="K27" t="e">
        <f>VLOOKUP($A27,'A Main Database'!$A:$R,11,0)</f>
        <v>#N/A</v>
      </c>
      <c r="L27" t="e">
        <f>VLOOKUP($A27,'A Main Database'!$A:$R,12,0)</f>
        <v>#N/A</v>
      </c>
      <c r="M27" t="e">
        <f>VLOOKUP($A27,'A Main Database'!$A:$R,13,0)</f>
        <v>#N/A</v>
      </c>
      <c r="N27" t="e">
        <f>VLOOKUP($A27,'A Main Database'!$A:$R,14,0)</f>
        <v>#N/A</v>
      </c>
      <c r="O27" t="e">
        <f>VLOOKUP($A27,'A Main Database'!$A:$R,15,0)</f>
        <v>#N/A</v>
      </c>
      <c r="P27" s="6" t="e">
        <f>VLOOKUP($A27,'A Main Database'!$A:$R,16,0)</f>
        <v>#N/A</v>
      </c>
      <c r="Q27" t="e">
        <f>VLOOKUP($A27,'A Main Database'!$A:$R,17,0)</f>
        <v>#N/A</v>
      </c>
      <c r="R27" t="e">
        <f>VLOOKUP($A27,'A Main Database'!$A:$R,18,0)</f>
        <v>#N/A</v>
      </c>
      <c r="S27" t="e">
        <f>VLOOKUP($A27,'A Main Database'!$A:$R,19,0)</f>
        <v>#N/A</v>
      </c>
      <c r="U27" t="str">
        <f>VLOOKUP(B27,'A Main Database'!A:A,1,0)</f>
        <v>housecleaningbester.blogspot.com</v>
      </c>
      <c r="V27" t="e">
        <f>VLOOKUP(B27,'A Main Database'!I:I,1,0)</f>
        <v>#N/A</v>
      </c>
      <c r="W27" t="e">
        <f>VLOOKUP(B27,'A Main Database'!M:M,1,0)</f>
        <v>#N/A</v>
      </c>
      <c r="X27" t="e">
        <f>VLOOKUP(B27,'A Main Database'!P:P,1,0)</f>
        <v>#N/A</v>
      </c>
      <c r="Y27" t="s">
        <v>128</v>
      </c>
      <c r="Z27" t="s">
        <v>292</v>
      </c>
      <c r="AA27" t="str">
        <f t="shared" si="1"/>
        <v>housecleaningbester.blogspot.com/submit</v>
      </c>
    </row>
    <row r="28" spans="1:27" x14ac:dyDescent="0.25">
      <c r="A28" t="str">
        <f t="shared" si="0"/>
        <v>iik.nebocom.press/submit</v>
      </c>
      <c r="B28" t="s">
        <v>92</v>
      </c>
      <c r="C28" s="4" t="e">
        <f>VLOOKUP($A28,'A Main Database'!$A:$R,3,0)</f>
        <v>#N/A</v>
      </c>
      <c r="D28" t="e">
        <f>VLOOKUP($A28,'A Main Database'!$A:$R,4,0)</f>
        <v>#N/A</v>
      </c>
      <c r="E28" t="e">
        <f>VLOOKUP($A28,'A Main Database'!$A:$R,5,0)</f>
        <v>#N/A</v>
      </c>
      <c r="F28" t="e">
        <f>VLOOKUP($A28,'A Main Database'!$A:$R,6,0)</f>
        <v>#N/A</v>
      </c>
      <c r="G28" t="e">
        <f>VLOOKUP($A28,'A Main Database'!$A:$R,7,0)</f>
        <v>#N/A</v>
      </c>
      <c r="H28" t="e">
        <f>VLOOKUP($A28,'A Main Database'!$A:$R,8,0)</f>
        <v>#N/A</v>
      </c>
      <c r="I28" t="e">
        <f>VLOOKUP($A28,'A Main Database'!$A:$R,9,0)</f>
        <v>#N/A</v>
      </c>
      <c r="J28" t="e">
        <f>VLOOKUP($A28,'A Main Database'!$A:$R,10,0)</f>
        <v>#N/A</v>
      </c>
      <c r="K28" t="e">
        <f>VLOOKUP($A28,'A Main Database'!$A:$R,11,0)</f>
        <v>#N/A</v>
      </c>
      <c r="L28" t="e">
        <f>VLOOKUP($A28,'A Main Database'!$A:$R,12,0)</f>
        <v>#N/A</v>
      </c>
      <c r="M28" t="e">
        <f>VLOOKUP($A28,'A Main Database'!$A:$R,13,0)</f>
        <v>#N/A</v>
      </c>
      <c r="N28" t="e">
        <f>VLOOKUP($A28,'A Main Database'!$A:$R,14,0)</f>
        <v>#N/A</v>
      </c>
      <c r="O28" t="e">
        <f>VLOOKUP($A28,'A Main Database'!$A:$R,15,0)</f>
        <v>#N/A</v>
      </c>
      <c r="P28" s="6" t="e">
        <f>VLOOKUP($A28,'A Main Database'!$A:$R,16,0)</f>
        <v>#N/A</v>
      </c>
      <c r="Q28" t="e">
        <f>VLOOKUP($A28,'A Main Database'!$A:$R,17,0)</f>
        <v>#N/A</v>
      </c>
      <c r="R28" t="e">
        <f>VLOOKUP($A28,'A Main Database'!$A:$R,18,0)</f>
        <v>#N/A</v>
      </c>
      <c r="S28" t="e">
        <f>VLOOKUP($A28,'A Main Database'!$A:$R,19,0)</f>
        <v>#N/A</v>
      </c>
      <c r="U28" t="e">
        <f>VLOOKUP(B28,'A Main Database'!A:A,1,0)</f>
        <v>#N/A</v>
      </c>
      <c r="V28" t="e">
        <f>VLOOKUP(B28,'A Main Database'!I:I,1,0)</f>
        <v>#N/A</v>
      </c>
      <c r="W28" t="e">
        <f>VLOOKUP(B28,'A Main Database'!M:M,1,0)</f>
        <v>#N/A</v>
      </c>
      <c r="X28" t="e">
        <f>VLOOKUP(B28,'A Main Database'!P:P,1,0)</f>
        <v>#N/A</v>
      </c>
      <c r="Y28" t="s">
        <v>287</v>
      </c>
      <c r="Z28" t="s">
        <v>292</v>
      </c>
      <c r="AA28" t="str">
        <f t="shared" si="1"/>
        <v>iik.nebocom.press/submit</v>
      </c>
    </row>
    <row r="29" spans="1:27" x14ac:dyDescent="0.25">
      <c r="A29" t="str">
        <f t="shared" si="0"/>
        <v>listingsca.com/submit</v>
      </c>
      <c r="B29" t="s">
        <v>43</v>
      </c>
      <c r="C29" s="4" t="e">
        <f>VLOOKUP($A29,'A Main Database'!$A:$R,3,0)</f>
        <v>#N/A</v>
      </c>
      <c r="D29" t="e">
        <f>VLOOKUP($A29,'A Main Database'!$A:$R,4,0)</f>
        <v>#N/A</v>
      </c>
      <c r="E29" t="e">
        <f>VLOOKUP($A29,'A Main Database'!$A:$R,5,0)</f>
        <v>#N/A</v>
      </c>
      <c r="F29" t="e">
        <f>VLOOKUP($A29,'A Main Database'!$A:$R,6,0)</f>
        <v>#N/A</v>
      </c>
      <c r="G29" t="e">
        <f>VLOOKUP($A29,'A Main Database'!$A:$R,7,0)</f>
        <v>#N/A</v>
      </c>
      <c r="H29" t="e">
        <f>VLOOKUP($A29,'A Main Database'!$A:$R,8,0)</f>
        <v>#N/A</v>
      </c>
      <c r="I29" t="e">
        <f>VLOOKUP($A29,'A Main Database'!$A:$R,9,0)</f>
        <v>#N/A</v>
      </c>
      <c r="J29" t="e">
        <f>VLOOKUP($A29,'A Main Database'!$A:$R,10,0)</f>
        <v>#N/A</v>
      </c>
      <c r="K29" t="e">
        <f>VLOOKUP($A29,'A Main Database'!$A:$R,11,0)</f>
        <v>#N/A</v>
      </c>
      <c r="L29" t="e">
        <f>VLOOKUP($A29,'A Main Database'!$A:$R,12,0)</f>
        <v>#N/A</v>
      </c>
      <c r="M29" t="e">
        <f>VLOOKUP($A29,'A Main Database'!$A:$R,13,0)</f>
        <v>#N/A</v>
      </c>
      <c r="N29" t="e">
        <f>VLOOKUP($A29,'A Main Database'!$A:$R,14,0)</f>
        <v>#N/A</v>
      </c>
      <c r="O29" t="e">
        <f>VLOOKUP($A29,'A Main Database'!$A:$R,15,0)</f>
        <v>#N/A</v>
      </c>
      <c r="P29" s="6" t="e">
        <f>VLOOKUP($A29,'A Main Database'!$A:$R,16,0)</f>
        <v>#N/A</v>
      </c>
      <c r="Q29" t="e">
        <f>VLOOKUP($A29,'A Main Database'!$A:$R,17,0)</f>
        <v>#N/A</v>
      </c>
      <c r="R29" t="e">
        <f>VLOOKUP($A29,'A Main Database'!$A:$R,18,0)</f>
        <v>#N/A</v>
      </c>
      <c r="S29" t="e">
        <f>VLOOKUP($A29,'A Main Database'!$A:$R,19,0)</f>
        <v>#N/A</v>
      </c>
      <c r="U29" t="str">
        <f>VLOOKUP(B29,'A Main Database'!A:A,1,0)</f>
        <v>listingsca.com</v>
      </c>
      <c r="V29" t="e">
        <f>VLOOKUP(B29,'A Main Database'!I:I,1,0)</f>
        <v>#N/A</v>
      </c>
      <c r="W29" t="e">
        <f>VLOOKUP(B29,'A Main Database'!M:M,1,0)</f>
        <v>#N/A</v>
      </c>
      <c r="X29" t="e">
        <f>VLOOKUP(B29,'A Main Database'!P:P,1,0)</f>
        <v>#N/A</v>
      </c>
      <c r="Y29" t="s">
        <v>128</v>
      </c>
      <c r="Z29" t="s">
        <v>292</v>
      </c>
      <c r="AA29" t="str">
        <f t="shared" si="1"/>
        <v>listingsca.com/submit</v>
      </c>
    </row>
    <row r="30" spans="1:27" x14ac:dyDescent="0.25">
      <c r="A30" t="str">
        <f t="shared" si="0"/>
        <v>mbicorp.ca/submit</v>
      </c>
      <c r="B30" t="s">
        <v>44</v>
      </c>
      <c r="C30" s="4" t="e">
        <f>VLOOKUP($A30,'A Main Database'!$A:$R,3,0)</f>
        <v>#N/A</v>
      </c>
      <c r="D30" t="e">
        <f>VLOOKUP($A30,'A Main Database'!$A:$R,4,0)</f>
        <v>#N/A</v>
      </c>
      <c r="E30" t="e">
        <f>VLOOKUP($A30,'A Main Database'!$A:$R,5,0)</f>
        <v>#N/A</v>
      </c>
      <c r="F30" t="e">
        <f>VLOOKUP($A30,'A Main Database'!$A:$R,6,0)</f>
        <v>#N/A</v>
      </c>
      <c r="G30" t="e">
        <f>VLOOKUP($A30,'A Main Database'!$A:$R,7,0)</f>
        <v>#N/A</v>
      </c>
      <c r="H30" t="e">
        <f>VLOOKUP($A30,'A Main Database'!$A:$R,8,0)</f>
        <v>#N/A</v>
      </c>
      <c r="I30" t="e">
        <f>VLOOKUP($A30,'A Main Database'!$A:$R,9,0)</f>
        <v>#N/A</v>
      </c>
      <c r="J30" t="e">
        <f>VLOOKUP($A30,'A Main Database'!$A:$R,10,0)</f>
        <v>#N/A</v>
      </c>
      <c r="K30" t="e">
        <f>VLOOKUP($A30,'A Main Database'!$A:$R,11,0)</f>
        <v>#N/A</v>
      </c>
      <c r="L30" t="e">
        <f>VLOOKUP($A30,'A Main Database'!$A:$R,12,0)</f>
        <v>#N/A</v>
      </c>
      <c r="M30" t="e">
        <f>VLOOKUP($A30,'A Main Database'!$A:$R,13,0)</f>
        <v>#N/A</v>
      </c>
      <c r="N30" t="e">
        <f>VLOOKUP($A30,'A Main Database'!$A:$R,14,0)</f>
        <v>#N/A</v>
      </c>
      <c r="O30" t="e">
        <f>VLOOKUP($A30,'A Main Database'!$A:$R,15,0)</f>
        <v>#N/A</v>
      </c>
      <c r="P30" s="6" t="e">
        <f>VLOOKUP($A30,'A Main Database'!$A:$R,16,0)</f>
        <v>#N/A</v>
      </c>
      <c r="Q30" t="e">
        <f>VLOOKUP($A30,'A Main Database'!$A:$R,17,0)</f>
        <v>#N/A</v>
      </c>
      <c r="R30" t="e">
        <f>VLOOKUP($A30,'A Main Database'!$A:$R,18,0)</f>
        <v>#N/A</v>
      </c>
      <c r="S30" t="e">
        <f>VLOOKUP($A30,'A Main Database'!$A:$R,19,0)</f>
        <v>#N/A</v>
      </c>
      <c r="U30" t="str">
        <f>VLOOKUP(B30,'A Main Database'!A:A,1,0)</f>
        <v>mbicorp.ca</v>
      </c>
      <c r="V30" t="e">
        <f>VLOOKUP(B30,'A Main Database'!I:I,1,0)</f>
        <v>#N/A</v>
      </c>
      <c r="W30" t="e">
        <f>VLOOKUP(B30,'A Main Database'!M:M,1,0)</f>
        <v>#N/A</v>
      </c>
      <c r="X30" t="e">
        <f>VLOOKUP(B30,'A Main Database'!P:P,1,0)</f>
        <v>#N/A</v>
      </c>
      <c r="Y30" t="s">
        <v>128</v>
      </c>
      <c r="Z30" t="s">
        <v>292</v>
      </c>
      <c r="AA30" t="str">
        <f t="shared" si="1"/>
        <v>mbicorp.ca/submit</v>
      </c>
    </row>
    <row r="31" spans="1:27" x14ac:dyDescent="0.25">
      <c r="A31" t="str">
        <f t="shared" si="0"/>
        <v>milanosiamonoi.se/submit</v>
      </c>
      <c r="B31" t="s">
        <v>45</v>
      </c>
      <c r="C31" s="4" t="e">
        <f>VLOOKUP($A31,'A Main Database'!$A:$R,3,0)</f>
        <v>#N/A</v>
      </c>
      <c r="D31" t="e">
        <f>VLOOKUP($A31,'A Main Database'!$A:$R,4,0)</f>
        <v>#N/A</v>
      </c>
      <c r="E31" t="e">
        <f>VLOOKUP($A31,'A Main Database'!$A:$R,5,0)</f>
        <v>#N/A</v>
      </c>
      <c r="F31" t="e">
        <f>VLOOKUP($A31,'A Main Database'!$A:$R,6,0)</f>
        <v>#N/A</v>
      </c>
      <c r="G31" t="e">
        <f>VLOOKUP($A31,'A Main Database'!$A:$R,7,0)</f>
        <v>#N/A</v>
      </c>
      <c r="H31" t="e">
        <f>VLOOKUP($A31,'A Main Database'!$A:$R,8,0)</f>
        <v>#N/A</v>
      </c>
      <c r="I31" t="e">
        <f>VLOOKUP($A31,'A Main Database'!$A:$R,9,0)</f>
        <v>#N/A</v>
      </c>
      <c r="J31" t="e">
        <f>VLOOKUP($A31,'A Main Database'!$A:$R,10,0)</f>
        <v>#N/A</v>
      </c>
      <c r="K31" t="e">
        <f>VLOOKUP($A31,'A Main Database'!$A:$R,11,0)</f>
        <v>#N/A</v>
      </c>
      <c r="L31" t="e">
        <f>VLOOKUP($A31,'A Main Database'!$A:$R,12,0)</f>
        <v>#N/A</v>
      </c>
      <c r="M31" t="e">
        <f>VLOOKUP($A31,'A Main Database'!$A:$R,13,0)</f>
        <v>#N/A</v>
      </c>
      <c r="N31" t="e">
        <f>VLOOKUP($A31,'A Main Database'!$A:$R,14,0)</f>
        <v>#N/A</v>
      </c>
      <c r="O31" t="e">
        <f>VLOOKUP($A31,'A Main Database'!$A:$R,15,0)</f>
        <v>#N/A</v>
      </c>
      <c r="P31" s="6" t="e">
        <f>VLOOKUP($A31,'A Main Database'!$A:$R,16,0)</f>
        <v>#N/A</v>
      </c>
      <c r="Q31" t="e">
        <f>VLOOKUP($A31,'A Main Database'!$A:$R,17,0)</f>
        <v>#N/A</v>
      </c>
      <c r="R31" t="e">
        <f>VLOOKUP($A31,'A Main Database'!$A:$R,18,0)</f>
        <v>#N/A</v>
      </c>
      <c r="S31" t="e">
        <f>VLOOKUP($A31,'A Main Database'!$A:$R,19,0)</f>
        <v>#N/A</v>
      </c>
      <c r="U31" t="str">
        <f>VLOOKUP(B31,'A Main Database'!A:A,1,0)</f>
        <v>milanosiamonoi.se</v>
      </c>
      <c r="V31" t="e">
        <f>VLOOKUP(B31,'A Main Database'!I:I,1,0)</f>
        <v>#N/A</v>
      </c>
      <c r="W31" t="e">
        <f>VLOOKUP(B31,'A Main Database'!M:M,1,0)</f>
        <v>#N/A</v>
      </c>
      <c r="X31" t="e">
        <f>VLOOKUP(B31,'A Main Database'!P:P,1,0)</f>
        <v>#N/A</v>
      </c>
      <c r="Y31" t="s">
        <v>128</v>
      </c>
      <c r="Z31" t="s">
        <v>292</v>
      </c>
      <c r="AA31" t="str">
        <f t="shared" si="1"/>
        <v>milanosiamonoi.se/submit</v>
      </c>
    </row>
    <row r="32" spans="1:27" x14ac:dyDescent="0.25">
      <c r="A32" t="str">
        <f t="shared" si="0"/>
        <v>nav123.net/submit</v>
      </c>
      <c r="B32" t="s">
        <v>46</v>
      </c>
      <c r="C32" s="4" t="e">
        <f>VLOOKUP($A32,'A Main Database'!$A:$R,3,0)</f>
        <v>#N/A</v>
      </c>
      <c r="D32" t="e">
        <f>VLOOKUP($A32,'A Main Database'!$A:$R,4,0)</f>
        <v>#N/A</v>
      </c>
      <c r="E32" t="e">
        <f>VLOOKUP($A32,'A Main Database'!$A:$R,5,0)</f>
        <v>#N/A</v>
      </c>
      <c r="F32" t="e">
        <f>VLOOKUP($A32,'A Main Database'!$A:$R,6,0)</f>
        <v>#N/A</v>
      </c>
      <c r="G32" t="e">
        <f>VLOOKUP($A32,'A Main Database'!$A:$R,7,0)</f>
        <v>#N/A</v>
      </c>
      <c r="H32" t="e">
        <f>VLOOKUP($A32,'A Main Database'!$A:$R,8,0)</f>
        <v>#N/A</v>
      </c>
      <c r="I32" t="e">
        <f>VLOOKUP($A32,'A Main Database'!$A:$R,9,0)</f>
        <v>#N/A</v>
      </c>
      <c r="J32" t="e">
        <f>VLOOKUP($A32,'A Main Database'!$A:$R,10,0)</f>
        <v>#N/A</v>
      </c>
      <c r="K32" t="e">
        <f>VLOOKUP($A32,'A Main Database'!$A:$R,11,0)</f>
        <v>#N/A</v>
      </c>
      <c r="L32" t="e">
        <f>VLOOKUP($A32,'A Main Database'!$A:$R,12,0)</f>
        <v>#N/A</v>
      </c>
      <c r="M32" t="e">
        <f>VLOOKUP($A32,'A Main Database'!$A:$R,13,0)</f>
        <v>#N/A</v>
      </c>
      <c r="N32" t="e">
        <f>VLOOKUP($A32,'A Main Database'!$A:$R,14,0)</f>
        <v>#N/A</v>
      </c>
      <c r="O32" t="e">
        <f>VLOOKUP($A32,'A Main Database'!$A:$R,15,0)</f>
        <v>#N/A</v>
      </c>
      <c r="P32" s="6" t="e">
        <f>VLOOKUP($A32,'A Main Database'!$A:$R,16,0)</f>
        <v>#N/A</v>
      </c>
      <c r="Q32" t="e">
        <f>VLOOKUP($A32,'A Main Database'!$A:$R,17,0)</f>
        <v>#N/A</v>
      </c>
      <c r="R32" t="e">
        <f>VLOOKUP($A32,'A Main Database'!$A:$R,18,0)</f>
        <v>#N/A</v>
      </c>
      <c r="S32" t="e">
        <f>VLOOKUP($A32,'A Main Database'!$A:$R,19,0)</f>
        <v>#N/A</v>
      </c>
      <c r="U32" t="str">
        <f>VLOOKUP(B32,'A Main Database'!A:A,1,0)</f>
        <v>nav123.net</v>
      </c>
      <c r="V32" t="e">
        <f>VLOOKUP(B32,'A Main Database'!I:I,1,0)</f>
        <v>#N/A</v>
      </c>
      <c r="W32" t="e">
        <f>VLOOKUP(B32,'A Main Database'!M:M,1,0)</f>
        <v>#N/A</v>
      </c>
      <c r="X32" t="e">
        <f>VLOOKUP(B32,'A Main Database'!P:P,1,0)</f>
        <v>#N/A</v>
      </c>
      <c r="Y32" t="s">
        <v>128</v>
      </c>
      <c r="Z32" t="s">
        <v>292</v>
      </c>
      <c r="AA32" t="str">
        <f t="shared" si="1"/>
        <v>nav123.net/submit</v>
      </c>
    </row>
    <row r="33" spans="1:27" x14ac:dyDescent="0.25">
      <c r="A33" t="str">
        <f t="shared" si="0"/>
        <v>norgould.com/submit</v>
      </c>
      <c r="B33" t="s">
        <v>47</v>
      </c>
      <c r="C33" s="4" t="e">
        <f>VLOOKUP($A33,'A Main Database'!$A:$R,3,0)</f>
        <v>#N/A</v>
      </c>
      <c r="D33" t="e">
        <f>VLOOKUP($A33,'A Main Database'!$A:$R,4,0)</f>
        <v>#N/A</v>
      </c>
      <c r="E33" t="e">
        <f>VLOOKUP($A33,'A Main Database'!$A:$R,5,0)</f>
        <v>#N/A</v>
      </c>
      <c r="F33" t="e">
        <f>VLOOKUP($A33,'A Main Database'!$A:$R,6,0)</f>
        <v>#N/A</v>
      </c>
      <c r="G33" t="e">
        <f>VLOOKUP($A33,'A Main Database'!$A:$R,7,0)</f>
        <v>#N/A</v>
      </c>
      <c r="H33" t="e">
        <f>VLOOKUP($A33,'A Main Database'!$A:$R,8,0)</f>
        <v>#N/A</v>
      </c>
      <c r="I33" t="e">
        <f>VLOOKUP($A33,'A Main Database'!$A:$R,9,0)</f>
        <v>#N/A</v>
      </c>
      <c r="J33" t="e">
        <f>VLOOKUP($A33,'A Main Database'!$A:$R,10,0)</f>
        <v>#N/A</v>
      </c>
      <c r="K33" t="e">
        <f>VLOOKUP($A33,'A Main Database'!$A:$R,11,0)</f>
        <v>#N/A</v>
      </c>
      <c r="L33" t="e">
        <f>VLOOKUP($A33,'A Main Database'!$A:$R,12,0)</f>
        <v>#N/A</v>
      </c>
      <c r="M33" t="e">
        <f>VLOOKUP($A33,'A Main Database'!$A:$R,13,0)</f>
        <v>#N/A</v>
      </c>
      <c r="N33" t="e">
        <f>VLOOKUP($A33,'A Main Database'!$A:$R,14,0)</f>
        <v>#N/A</v>
      </c>
      <c r="O33" t="e">
        <f>VLOOKUP($A33,'A Main Database'!$A:$R,15,0)</f>
        <v>#N/A</v>
      </c>
      <c r="P33" s="6" t="e">
        <f>VLOOKUP($A33,'A Main Database'!$A:$R,16,0)</f>
        <v>#N/A</v>
      </c>
      <c r="Q33" t="e">
        <f>VLOOKUP($A33,'A Main Database'!$A:$R,17,0)</f>
        <v>#N/A</v>
      </c>
      <c r="R33" t="e">
        <f>VLOOKUP($A33,'A Main Database'!$A:$R,18,0)</f>
        <v>#N/A</v>
      </c>
      <c r="S33" t="e">
        <f>VLOOKUP($A33,'A Main Database'!$A:$R,19,0)</f>
        <v>#N/A</v>
      </c>
      <c r="U33" t="str">
        <f>VLOOKUP(B33,'A Main Database'!A:A,1,0)</f>
        <v>norgould.com</v>
      </c>
      <c r="V33" t="e">
        <f>VLOOKUP(B33,'A Main Database'!I:I,1,0)</f>
        <v>#N/A</v>
      </c>
      <c r="W33" t="e">
        <f>VLOOKUP(B33,'A Main Database'!M:M,1,0)</f>
        <v>#N/A</v>
      </c>
      <c r="X33" t="e">
        <f>VLOOKUP(B33,'A Main Database'!P:P,1,0)</f>
        <v>#N/A</v>
      </c>
      <c r="Y33" t="s">
        <v>128</v>
      </c>
      <c r="Z33" t="s">
        <v>292</v>
      </c>
      <c r="AA33" t="str">
        <f t="shared" si="1"/>
        <v>norgould.com/submit</v>
      </c>
    </row>
    <row r="34" spans="1:27" x14ac:dyDescent="0.25">
      <c r="A34" t="str">
        <f t="shared" si="0"/>
        <v>officecleaningekeiwaki.blogspot.com/submit</v>
      </c>
      <c r="B34" t="s">
        <v>48</v>
      </c>
      <c r="C34" s="4" t="e">
        <f>VLOOKUP($A34,'A Main Database'!$A:$R,3,0)</f>
        <v>#N/A</v>
      </c>
      <c r="D34" t="e">
        <f>VLOOKUP($A34,'A Main Database'!$A:$R,4,0)</f>
        <v>#N/A</v>
      </c>
      <c r="E34" t="e">
        <f>VLOOKUP($A34,'A Main Database'!$A:$R,5,0)</f>
        <v>#N/A</v>
      </c>
      <c r="F34" t="e">
        <f>VLOOKUP($A34,'A Main Database'!$A:$R,6,0)</f>
        <v>#N/A</v>
      </c>
      <c r="G34" t="e">
        <f>VLOOKUP($A34,'A Main Database'!$A:$R,7,0)</f>
        <v>#N/A</v>
      </c>
      <c r="H34" t="e">
        <f>VLOOKUP($A34,'A Main Database'!$A:$R,8,0)</f>
        <v>#N/A</v>
      </c>
      <c r="I34" t="e">
        <f>VLOOKUP($A34,'A Main Database'!$A:$R,9,0)</f>
        <v>#N/A</v>
      </c>
      <c r="J34" t="e">
        <f>VLOOKUP($A34,'A Main Database'!$A:$R,10,0)</f>
        <v>#N/A</v>
      </c>
      <c r="K34" t="e">
        <f>VLOOKUP($A34,'A Main Database'!$A:$R,11,0)</f>
        <v>#N/A</v>
      </c>
      <c r="L34" t="e">
        <f>VLOOKUP($A34,'A Main Database'!$A:$R,12,0)</f>
        <v>#N/A</v>
      </c>
      <c r="M34" t="e">
        <f>VLOOKUP($A34,'A Main Database'!$A:$R,13,0)</f>
        <v>#N/A</v>
      </c>
      <c r="N34" t="e">
        <f>VLOOKUP($A34,'A Main Database'!$A:$R,14,0)</f>
        <v>#N/A</v>
      </c>
      <c r="O34" t="e">
        <f>VLOOKUP($A34,'A Main Database'!$A:$R,15,0)</f>
        <v>#N/A</v>
      </c>
      <c r="P34" s="6" t="e">
        <f>VLOOKUP($A34,'A Main Database'!$A:$R,16,0)</f>
        <v>#N/A</v>
      </c>
      <c r="Q34" t="e">
        <f>VLOOKUP($A34,'A Main Database'!$A:$R,17,0)</f>
        <v>#N/A</v>
      </c>
      <c r="R34" t="e">
        <f>VLOOKUP($A34,'A Main Database'!$A:$R,18,0)</f>
        <v>#N/A</v>
      </c>
      <c r="S34" t="e">
        <f>VLOOKUP($A34,'A Main Database'!$A:$R,19,0)</f>
        <v>#N/A</v>
      </c>
      <c r="U34" t="str">
        <f>VLOOKUP(B34,'A Main Database'!A:A,1,0)</f>
        <v>officecleaningekeiwaki.blogspot.com</v>
      </c>
      <c r="V34" t="e">
        <f>VLOOKUP(B34,'A Main Database'!I:I,1,0)</f>
        <v>#N/A</v>
      </c>
      <c r="W34" t="e">
        <f>VLOOKUP(B34,'A Main Database'!M:M,1,0)</f>
        <v>#N/A</v>
      </c>
      <c r="X34" t="e">
        <f>VLOOKUP(B34,'A Main Database'!P:P,1,0)</f>
        <v>#N/A</v>
      </c>
      <c r="Y34" t="s">
        <v>128</v>
      </c>
      <c r="Z34" t="s">
        <v>292</v>
      </c>
      <c r="AA34" t="str">
        <f t="shared" si="1"/>
        <v>officecleaningekeiwaki.blogspot.com/submit</v>
      </c>
    </row>
    <row r="35" spans="1:27" x14ac:dyDescent="0.25">
      <c r="A35" t="str">
        <f t="shared" si="0"/>
        <v>officecleaningpokabako.blogspot.com/submit</v>
      </c>
      <c r="B35" t="s">
        <v>49</v>
      </c>
      <c r="C35" s="4" t="e">
        <f>VLOOKUP($A35,'A Main Database'!$A:$R,3,0)</f>
        <v>#N/A</v>
      </c>
      <c r="D35" t="e">
        <f>VLOOKUP($A35,'A Main Database'!$A:$R,4,0)</f>
        <v>#N/A</v>
      </c>
      <c r="E35" t="e">
        <f>VLOOKUP($A35,'A Main Database'!$A:$R,5,0)</f>
        <v>#N/A</v>
      </c>
      <c r="F35" t="e">
        <f>VLOOKUP($A35,'A Main Database'!$A:$R,6,0)</f>
        <v>#N/A</v>
      </c>
      <c r="G35" t="e">
        <f>VLOOKUP($A35,'A Main Database'!$A:$R,7,0)</f>
        <v>#N/A</v>
      </c>
      <c r="H35" t="e">
        <f>VLOOKUP($A35,'A Main Database'!$A:$R,8,0)</f>
        <v>#N/A</v>
      </c>
      <c r="I35" t="e">
        <f>VLOOKUP($A35,'A Main Database'!$A:$R,9,0)</f>
        <v>#N/A</v>
      </c>
      <c r="J35" t="e">
        <f>VLOOKUP($A35,'A Main Database'!$A:$R,10,0)</f>
        <v>#N/A</v>
      </c>
      <c r="K35" t="e">
        <f>VLOOKUP($A35,'A Main Database'!$A:$R,11,0)</f>
        <v>#N/A</v>
      </c>
      <c r="L35" t="e">
        <f>VLOOKUP($A35,'A Main Database'!$A:$R,12,0)</f>
        <v>#N/A</v>
      </c>
      <c r="M35" t="e">
        <f>VLOOKUP($A35,'A Main Database'!$A:$R,13,0)</f>
        <v>#N/A</v>
      </c>
      <c r="N35" t="e">
        <f>VLOOKUP($A35,'A Main Database'!$A:$R,14,0)</f>
        <v>#N/A</v>
      </c>
      <c r="O35" t="e">
        <f>VLOOKUP($A35,'A Main Database'!$A:$R,15,0)</f>
        <v>#N/A</v>
      </c>
      <c r="P35" s="6" t="e">
        <f>VLOOKUP($A35,'A Main Database'!$A:$R,16,0)</f>
        <v>#N/A</v>
      </c>
      <c r="Q35" t="e">
        <f>VLOOKUP($A35,'A Main Database'!$A:$R,17,0)</f>
        <v>#N/A</v>
      </c>
      <c r="R35" t="e">
        <f>VLOOKUP($A35,'A Main Database'!$A:$R,18,0)</f>
        <v>#N/A</v>
      </c>
      <c r="S35" t="e">
        <f>VLOOKUP($A35,'A Main Database'!$A:$R,19,0)</f>
        <v>#N/A</v>
      </c>
      <c r="U35" t="str">
        <f>VLOOKUP(B35,'A Main Database'!A:A,1,0)</f>
        <v>officecleaningpokabako.blogspot.com</v>
      </c>
      <c r="V35" t="e">
        <f>VLOOKUP(B35,'A Main Database'!I:I,1,0)</f>
        <v>#N/A</v>
      </c>
      <c r="W35" t="e">
        <f>VLOOKUP(B35,'A Main Database'!M:M,1,0)</f>
        <v>#N/A</v>
      </c>
      <c r="X35" t="e">
        <f>VLOOKUP(B35,'A Main Database'!P:P,1,0)</f>
        <v>#N/A</v>
      </c>
      <c r="Y35" t="s">
        <v>128</v>
      </c>
      <c r="Z35" t="s">
        <v>292</v>
      </c>
      <c r="AA35" t="str">
        <f t="shared" si="1"/>
        <v>officecleaningpokabako.blogspot.com/submit</v>
      </c>
    </row>
    <row r="36" spans="1:27" x14ac:dyDescent="0.25">
      <c r="A36" t="str">
        <f t="shared" si="0"/>
        <v>officecleaningtochka.blogspot.com/submit</v>
      </c>
      <c r="B36" t="s">
        <v>50</v>
      </c>
      <c r="C36" s="4" t="e">
        <f>VLOOKUP($A36,'A Main Database'!$A:$R,3,0)</f>
        <v>#N/A</v>
      </c>
      <c r="D36" t="e">
        <f>VLOOKUP($A36,'A Main Database'!$A:$R,4,0)</f>
        <v>#N/A</v>
      </c>
      <c r="E36" t="e">
        <f>VLOOKUP($A36,'A Main Database'!$A:$R,5,0)</f>
        <v>#N/A</v>
      </c>
      <c r="F36" t="e">
        <f>VLOOKUP($A36,'A Main Database'!$A:$R,6,0)</f>
        <v>#N/A</v>
      </c>
      <c r="G36" t="e">
        <f>VLOOKUP($A36,'A Main Database'!$A:$R,7,0)</f>
        <v>#N/A</v>
      </c>
      <c r="H36" t="e">
        <f>VLOOKUP($A36,'A Main Database'!$A:$R,8,0)</f>
        <v>#N/A</v>
      </c>
      <c r="I36" t="e">
        <f>VLOOKUP($A36,'A Main Database'!$A:$R,9,0)</f>
        <v>#N/A</v>
      </c>
      <c r="J36" t="e">
        <f>VLOOKUP($A36,'A Main Database'!$A:$R,10,0)</f>
        <v>#N/A</v>
      </c>
      <c r="K36" t="e">
        <f>VLOOKUP($A36,'A Main Database'!$A:$R,11,0)</f>
        <v>#N/A</v>
      </c>
      <c r="L36" t="e">
        <f>VLOOKUP($A36,'A Main Database'!$A:$R,12,0)</f>
        <v>#N/A</v>
      </c>
      <c r="M36" t="e">
        <f>VLOOKUP($A36,'A Main Database'!$A:$R,13,0)</f>
        <v>#N/A</v>
      </c>
      <c r="N36" t="e">
        <f>VLOOKUP($A36,'A Main Database'!$A:$R,14,0)</f>
        <v>#N/A</v>
      </c>
      <c r="O36" t="e">
        <f>VLOOKUP($A36,'A Main Database'!$A:$R,15,0)</f>
        <v>#N/A</v>
      </c>
      <c r="P36" s="6" t="e">
        <f>VLOOKUP($A36,'A Main Database'!$A:$R,16,0)</f>
        <v>#N/A</v>
      </c>
      <c r="Q36" t="e">
        <f>VLOOKUP($A36,'A Main Database'!$A:$R,17,0)</f>
        <v>#N/A</v>
      </c>
      <c r="R36" t="e">
        <f>VLOOKUP($A36,'A Main Database'!$A:$R,18,0)</f>
        <v>#N/A</v>
      </c>
      <c r="S36" t="e">
        <f>VLOOKUP($A36,'A Main Database'!$A:$R,19,0)</f>
        <v>#N/A</v>
      </c>
      <c r="U36" t="str">
        <f>VLOOKUP(B36,'A Main Database'!A:A,1,0)</f>
        <v>officecleaningtochka.blogspot.com</v>
      </c>
      <c r="V36" t="e">
        <f>VLOOKUP(B36,'A Main Database'!I:I,1,0)</f>
        <v>#N/A</v>
      </c>
      <c r="W36" t="e">
        <f>VLOOKUP(B36,'A Main Database'!M:M,1,0)</f>
        <v>#N/A</v>
      </c>
      <c r="X36" t="e">
        <f>VLOOKUP(B36,'A Main Database'!P:P,1,0)</f>
        <v>#N/A</v>
      </c>
      <c r="Y36" t="s">
        <v>128</v>
      </c>
      <c r="Z36" t="s">
        <v>292</v>
      </c>
      <c r="AA36" t="str">
        <f t="shared" si="1"/>
        <v>officecleaningtochka.blogspot.com/submit</v>
      </c>
    </row>
    <row r="37" spans="1:27" x14ac:dyDescent="0.25">
      <c r="A37" t="str">
        <f t="shared" si="0"/>
        <v>ottawa.allofcanada.com/submit</v>
      </c>
      <c r="B37" t="s">
        <v>93</v>
      </c>
      <c r="C37" s="4" t="e">
        <f>VLOOKUP($A37,'A Main Database'!$A:$R,3,0)</f>
        <v>#N/A</v>
      </c>
      <c r="D37" t="e">
        <f>VLOOKUP($A37,'A Main Database'!$A:$R,4,0)</f>
        <v>#N/A</v>
      </c>
      <c r="E37" t="e">
        <f>VLOOKUP($A37,'A Main Database'!$A:$R,5,0)</f>
        <v>#N/A</v>
      </c>
      <c r="F37" t="e">
        <f>VLOOKUP($A37,'A Main Database'!$A:$R,6,0)</f>
        <v>#N/A</v>
      </c>
      <c r="G37" t="e">
        <f>VLOOKUP($A37,'A Main Database'!$A:$R,7,0)</f>
        <v>#N/A</v>
      </c>
      <c r="H37" t="e">
        <f>VLOOKUP($A37,'A Main Database'!$A:$R,8,0)</f>
        <v>#N/A</v>
      </c>
      <c r="I37" t="e">
        <f>VLOOKUP($A37,'A Main Database'!$A:$R,9,0)</f>
        <v>#N/A</v>
      </c>
      <c r="J37" t="e">
        <f>VLOOKUP($A37,'A Main Database'!$A:$R,10,0)</f>
        <v>#N/A</v>
      </c>
      <c r="K37" t="e">
        <f>VLOOKUP($A37,'A Main Database'!$A:$R,11,0)</f>
        <v>#N/A</v>
      </c>
      <c r="L37" t="e">
        <f>VLOOKUP($A37,'A Main Database'!$A:$R,12,0)</f>
        <v>#N/A</v>
      </c>
      <c r="M37" t="e">
        <f>VLOOKUP($A37,'A Main Database'!$A:$R,13,0)</f>
        <v>#N/A</v>
      </c>
      <c r="N37" t="e">
        <f>VLOOKUP($A37,'A Main Database'!$A:$R,14,0)</f>
        <v>#N/A</v>
      </c>
      <c r="O37" t="e">
        <f>VLOOKUP($A37,'A Main Database'!$A:$R,15,0)</f>
        <v>#N/A</v>
      </c>
      <c r="P37" s="6" t="e">
        <f>VLOOKUP($A37,'A Main Database'!$A:$R,16,0)</f>
        <v>#N/A</v>
      </c>
      <c r="Q37" t="e">
        <f>VLOOKUP($A37,'A Main Database'!$A:$R,17,0)</f>
        <v>#N/A</v>
      </c>
      <c r="R37" t="e">
        <f>VLOOKUP($A37,'A Main Database'!$A:$R,18,0)</f>
        <v>#N/A</v>
      </c>
      <c r="S37" t="e">
        <f>VLOOKUP($A37,'A Main Database'!$A:$R,19,0)</f>
        <v>#N/A</v>
      </c>
      <c r="U37" t="e">
        <f>VLOOKUP(B37,'A Main Database'!A:A,1,0)</f>
        <v>#N/A</v>
      </c>
      <c r="V37" t="e">
        <f>VLOOKUP(B37,'A Main Database'!I:I,1,0)</f>
        <v>#N/A</v>
      </c>
      <c r="W37" t="e">
        <f>VLOOKUP(B37,'A Main Database'!M:M,1,0)</f>
        <v>#N/A</v>
      </c>
      <c r="X37" t="e">
        <f>VLOOKUP(B37,'A Main Database'!P:P,1,0)</f>
        <v>#N/A</v>
      </c>
      <c r="Y37" t="s">
        <v>287</v>
      </c>
      <c r="Z37" t="s">
        <v>292</v>
      </c>
      <c r="AA37" t="str">
        <f t="shared" si="1"/>
        <v>ottawa.allofcanada.com/submit</v>
      </c>
    </row>
    <row r="38" spans="1:27" x14ac:dyDescent="0.25">
      <c r="A38" t="str">
        <f t="shared" si="0"/>
        <v>ottawa.cdncompanies.com/submit</v>
      </c>
      <c r="B38" t="s">
        <v>94</v>
      </c>
      <c r="C38" s="4" t="e">
        <f>VLOOKUP($A38,'A Main Database'!$A:$R,3,0)</f>
        <v>#N/A</v>
      </c>
      <c r="D38" t="e">
        <f>VLOOKUP($A38,'A Main Database'!$A:$R,4,0)</f>
        <v>#N/A</v>
      </c>
      <c r="E38" t="e">
        <f>VLOOKUP($A38,'A Main Database'!$A:$R,5,0)</f>
        <v>#N/A</v>
      </c>
      <c r="F38" t="e">
        <f>VLOOKUP($A38,'A Main Database'!$A:$R,6,0)</f>
        <v>#N/A</v>
      </c>
      <c r="G38" t="e">
        <f>VLOOKUP($A38,'A Main Database'!$A:$R,7,0)</f>
        <v>#N/A</v>
      </c>
      <c r="H38" t="e">
        <f>VLOOKUP($A38,'A Main Database'!$A:$R,8,0)</f>
        <v>#N/A</v>
      </c>
      <c r="I38" t="e">
        <f>VLOOKUP($A38,'A Main Database'!$A:$R,9,0)</f>
        <v>#N/A</v>
      </c>
      <c r="J38" t="e">
        <f>VLOOKUP($A38,'A Main Database'!$A:$R,10,0)</f>
        <v>#N/A</v>
      </c>
      <c r="K38" t="e">
        <f>VLOOKUP($A38,'A Main Database'!$A:$R,11,0)</f>
        <v>#N/A</v>
      </c>
      <c r="L38" t="e">
        <f>VLOOKUP($A38,'A Main Database'!$A:$R,12,0)</f>
        <v>#N/A</v>
      </c>
      <c r="M38" t="e">
        <f>VLOOKUP($A38,'A Main Database'!$A:$R,13,0)</f>
        <v>#N/A</v>
      </c>
      <c r="N38" t="e">
        <f>VLOOKUP($A38,'A Main Database'!$A:$R,14,0)</f>
        <v>#N/A</v>
      </c>
      <c r="O38" t="e">
        <f>VLOOKUP($A38,'A Main Database'!$A:$R,15,0)</f>
        <v>#N/A</v>
      </c>
      <c r="P38" s="6" t="e">
        <f>VLOOKUP($A38,'A Main Database'!$A:$R,16,0)</f>
        <v>#N/A</v>
      </c>
      <c r="Q38" t="e">
        <f>VLOOKUP($A38,'A Main Database'!$A:$R,17,0)</f>
        <v>#N/A</v>
      </c>
      <c r="R38" t="e">
        <f>VLOOKUP($A38,'A Main Database'!$A:$R,18,0)</f>
        <v>#N/A</v>
      </c>
      <c r="S38" t="e">
        <f>VLOOKUP($A38,'A Main Database'!$A:$R,19,0)</f>
        <v>#N/A</v>
      </c>
      <c r="U38" t="e">
        <f>VLOOKUP(B38,'A Main Database'!A:A,1,0)</f>
        <v>#N/A</v>
      </c>
      <c r="V38" t="e">
        <f>VLOOKUP(B38,'A Main Database'!I:I,1,0)</f>
        <v>#N/A</v>
      </c>
      <c r="W38" t="e">
        <f>VLOOKUP(B38,'A Main Database'!M:M,1,0)</f>
        <v>#N/A</v>
      </c>
      <c r="X38" t="e">
        <f>VLOOKUP(B38,'A Main Database'!P:P,1,0)</f>
        <v>#N/A</v>
      </c>
      <c r="Y38" t="s">
        <v>287</v>
      </c>
      <c r="Z38" t="s">
        <v>292</v>
      </c>
      <c r="AA38" t="str">
        <f t="shared" si="1"/>
        <v>ottawa.cdncompanies.com/submit</v>
      </c>
    </row>
    <row r="39" spans="1:27" x14ac:dyDescent="0.25">
      <c r="A39" t="str">
        <f t="shared" si="0"/>
        <v>ottawa-on.canada-stores.com/submit</v>
      </c>
      <c r="B39" t="s">
        <v>95</v>
      </c>
      <c r="C39" s="4" t="e">
        <f>VLOOKUP($A39,'A Main Database'!$A:$R,3,0)</f>
        <v>#N/A</v>
      </c>
      <c r="D39" t="e">
        <f>VLOOKUP($A39,'A Main Database'!$A:$R,4,0)</f>
        <v>#N/A</v>
      </c>
      <c r="E39" t="e">
        <f>VLOOKUP($A39,'A Main Database'!$A:$R,5,0)</f>
        <v>#N/A</v>
      </c>
      <c r="F39" t="e">
        <f>VLOOKUP($A39,'A Main Database'!$A:$R,6,0)</f>
        <v>#N/A</v>
      </c>
      <c r="G39" t="e">
        <f>VLOOKUP($A39,'A Main Database'!$A:$R,7,0)</f>
        <v>#N/A</v>
      </c>
      <c r="H39" t="e">
        <f>VLOOKUP($A39,'A Main Database'!$A:$R,8,0)</f>
        <v>#N/A</v>
      </c>
      <c r="I39" t="e">
        <f>VLOOKUP($A39,'A Main Database'!$A:$R,9,0)</f>
        <v>#N/A</v>
      </c>
      <c r="J39" t="e">
        <f>VLOOKUP($A39,'A Main Database'!$A:$R,10,0)</f>
        <v>#N/A</v>
      </c>
      <c r="K39" t="e">
        <f>VLOOKUP($A39,'A Main Database'!$A:$R,11,0)</f>
        <v>#N/A</v>
      </c>
      <c r="L39" t="e">
        <f>VLOOKUP($A39,'A Main Database'!$A:$R,12,0)</f>
        <v>#N/A</v>
      </c>
      <c r="M39" t="e">
        <f>VLOOKUP($A39,'A Main Database'!$A:$R,13,0)</f>
        <v>#N/A</v>
      </c>
      <c r="N39" t="e">
        <f>VLOOKUP($A39,'A Main Database'!$A:$R,14,0)</f>
        <v>#N/A</v>
      </c>
      <c r="O39" t="e">
        <f>VLOOKUP($A39,'A Main Database'!$A:$R,15,0)</f>
        <v>#N/A</v>
      </c>
      <c r="P39" s="6" t="e">
        <f>VLOOKUP($A39,'A Main Database'!$A:$R,16,0)</f>
        <v>#N/A</v>
      </c>
      <c r="Q39" t="e">
        <f>VLOOKUP($A39,'A Main Database'!$A:$R,17,0)</f>
        <v>#N/A</v>
      </c>
      <c r="R39" t="e">
        <f>VLOOKUP($A39,'A Main Database'!$A:$R,18,0)</f>
        <v>#N/A</v>
      </c>
      <c r="S39" t="e">
        <f>VLOOKUP($A39,'A Main Database'!$A:$R,19,0)</f>
        <v>#N/A</v>
      </c>
      <c r="U39" t="e">
        <f>VLOOKUP(B39,'A Main Database'!A:A,1,0)</f>
        <v>#N/A</v>
      </c>
      <c r="V39" t="e">
        <f>VLOOKUP(B39,'A Main Database'!I:I,1,0)</f>
        <v>#N/A</v>
      </c>
      <c r="W39" t="e">
        <f>VLOOKUP(B39,'A Main Database'!M:M,1,0)</f>
        <v>#N/A</v>
      </c>
      <c r="X39" t="e">
        <f>VLOOKUP(B39,'A Main Database'!P:P,1,0)</f>
        <v>#N/A</v>
      </c>
      <c r="Y39" t="s">
        <v>287</v>
      </c>
      <c r="Z39" t="s">
        <v>292</v>
      </c>
      <c r="AA39" t="str">
        <f t="shared" si="1"/>
        <v>ottawa-on.canada-stores.com/submit</v>
      </c>
    </row>
    <row r="40" spans="1:27" x14ac:dyDescent="0.25">
      <c r="A40" t="str">
        <f t="shared" si="0"/>
        <v>ottawa-on.canadiancontractorsnearme.com/submit</v>
      </c>
      <c r="B40" t="s">
        <v>96</v>
      </c>
      <c r="C40" s="4" t="e">
        <f>VLOOKUP($A40,'A Main Database'!$A:$R,3,0)</f>
        <v>#N/A</v>
      </c>
      <c r="D40" t="e">
        <f>VLOOKUP($A40,'A Main Database'!$A:$R,4,0)</f>
        <v>#N/A</v>
      </c>
      <c r="E40" t="e">
        <f>VLOOKUP($A40,'A Main Database'!$A:$R,5,0)</f>
        <v>#N/A</v>
      </c>
      <c r="F40" t="e">
        <f>VLOOKUP($A40,'A Main Database'!$A:$R,6,0)</f>
        <v>#N/A</v>
      </c>
      <c r="G40" t="e">
        <f>VLOOKUP($A40,'A Main Database'!$A:$R,7,0)</f>
        <v>#N/A</v>
      </c>
      <c r="H40" t="e">
        <f>VLOOKUP($A40,'A Main Database'!$A:$R,8,0)</f>
        <v>#N/A</v>
      </c>
      <c r="I40" t="e">
        <f>VLOOKUP($A40,'A Main Database'!$A:$R,9,0)</f>
        <v>#N/A</v>
      </c>
      <c r="J40" t="e">
        <f>VLOOKUP($A40,'A Main Database'!$A:$R,10,0)</f>
        <v>#N/A</v>
      </c>
      <c r="K40" t="e">
        <f>VLOOKUP($A40,'A Main Database'!$A:$R,11,0)</f>
        <v>#N/A</v>
      </c>
      <c r="L40" t="e">
        <f>VLOOKUP($A40,'A Main Database'!$A:$R,12,0)</f>
        <v>#N/A</v>
      </c>
      <c r="M40" t="e">
        <f>VLOOKUP($A40,'A Main Database'!$A:$R,13,0)</f>
        <v>#N/A</v>
      </c>
      <c r="N40" t="e">
        <f>VLOOKUP($A40,'A Main Database'!$A:$R,14,0)</f>
        <v>#N/A</v>
      </c>
      <c r="O40" t="e">
        <f>VLOOKUP($A40,'A Main Database'!$A:$R,15,0)</f>
        <v>#N/A</v>
      </c>
      <c r="P40" s="6" t="e">
        <f>VLOOKUP($A40,'A Main Database'!$A:$R,16,0)</f>
        <v>#N/A</v>
      </c>
      <c r="Q40" t="e">
        <f>VLOOKUP($A40,'A Main Database'!$A:$R,17,0)</f>
        <v>#N/A</v>
      </c>
      <c r="R40" t="e">
        <f>VLOOKUP($A40,'A Main Database'!$A:$R,18,0)</f>
        <v>#N/A</v>
      </c>
      <c r="S40" t="e">
        <f>VLOOKUP($A40,'A Main Database'!$A:$R,19,0)</f>
        <v>#N/A</v>
      </c>
      <c r="U40" t="e">
        <f>VLOOKUP(B40,'A Main Database'!A:A,1,0)</f>
        <v>#N/A</v>
      </c>
      <c r="V40" t="e">
        <f>VLOOKUP(B40,'A Main Database'!I:I,1,0)</f>
        <v>#N/A</v>
      </c>
      <c r="W40" t="e">
        <f>VLOOKUP(B40,'A Main Database'!M:M,1,0)</f>
        <v>#N/A</v>
      </c>
      <c r="X40" t="e">
        <f>VLOOKUP(B40,'A Main Database'!P:P,1,0)</f>
        <v>#N/A</v>
      </c>
      <c r="Y40" t="s">
        <v>287</v>
      </c>
      <c r="Z40" t="s">
        <v>292</v>
      </c>
      <c r="AA40" t="str">
        <f t="shared" si="1"/>
        <v>ottawa-on.canadiancontractorsnearme.com/submit</v>
      </c>
    </row>
    <row r="41" spans="1:27" x14ac:dyDescent="0.25">
      <c r="A41" t="str">
        <f t="shared" si="0"/>
        <v>www.cdnpages.ca/submit</v>
      </c>
      <c r="B41" t="s">
        <v>97</v>
      </c>
      <c r="C41" s="4" t="e">
        <f>VLOOKUP($A41,'A Main Database'!$A:$R,3,0)</f>
        <v>#N/A</v>
      </c>
      <c r="D41" t="e">
        <f>VLOOKUP($A41,'A Main Database'!$A:$R,4,0)</f>
        <v>#N/A</v>
      </c>
      <c r="E41" t="e">
        <f>VLOOKUP($A41,'A Main Database'!$A:$R,5,0)</f>
        <v>#N/A</v>
      </c>
      <c r="F41" t="e">
        <f>VLOOKUP($A41,'A Main Database'!$A:$R,6,0)</f>
        <v>#N/A</v>
      </c>
      <c r="G41" t="e">
        <f>VLOOKUP($A41,'A Main Database'!$A:$R,7,0)</f>
        <v>#N/A</v>
      </c>
      <c r="H41" t="e">
        <f>VLOOKUP($A41,'A Main Database'!$A:$R,8,0)</f>
        <v>#N/A</v>
      </c>
      <c r="I41" t="e">
        <f>VLOOKUP($A41,'A Main Database'!$A:$R,9,0)</f>
        <v>#N/A</v>
      </c>
      <c r="J41" t="e">
        <f>VLOOKUP($A41,'A Main Database'!$A:$R,10,0)</f>
        <v>#N/A</v>
      </c>
      <c r="K41" t="e">
        <f>VLOOKUP($A41,'A Main Database'!$A:$R,11,0)</f>
        <v>#N/A</v>
      </c>
      <c r="L41" t="e">
        <f>VLOOKUP($A41,'A Main Database'!$A:$R,12,0)</f>
        <v>#N/A</v>
      </c>
      <c r="M41" t="e">
        <f>VLOOKUP($A41,'A Main Database'!$A:$R,13,0)</f>
        <v>#N/A</v>
      </c>
      <c r="N41" t="e">
        <f>VLOOKUP($A41,'A Main Database'!$A:$R,14,0)</f>
        <v>#N/A</v>
      </c>
      <c r="O41" t="e">
        <f>VLOOKUP($A41,'A Main Database'!$A:$R,15,0)</f>
        <v>#N/A</v>
      </c>
      <c r="P41" s="6" t="e">
        <f>VLOOKUP($A41,'A Main Database'!$A:$R,16,0)</f>
        <v>#N/A</v>
      </c>
      <c r="Q41" t="e">
        <f>VLOOKUP($A41,'A Main Database'!$A:$R,17,0)</f>
        <v>#N/A</v>
      </c>
      <c r="R41" t="e">
        <f>VLOOKUP($A41,'A Main Database'!$A:$R,18,0)</f>
        <v>#N/A</v>
      </c>
      <c r="S41" t="e">
        <f>VLOOKUP($A41,'A Main Database'!$A:$R,19,0)</f>
        <v>#N/A</v>
      </c>
      <c r="U41" t="e">
        <f>VLOOKUP(B41,'A Main Database'!A:A,1,0)</f>
        <v>#N/A</v>
      </c>
      <c r="V41" t="e">
        <f>VLOOKUP(B41,'A Main Database'!I:I,1,0)</f>
        <v>#N/A</v>
      </c>
      <c r="W41" t="e">
        <f>VLOOKUP(B41,'A Main Database'!M:M,1,0)</f>
        <v>#N/A</v>
      </c>
      <c r="X41" t="e">
        <f>VLOOKUP(B41,'A Main Database'!P:P,1,0)</f>
        <v>#N/A</v>
      </c>
      <c r="Y41" t="s">
        <v>287</v>
      </c>
      <c r="Z41" t="s">
        <v>292</v>
      </c>
      <c r="AA41" t="str">
        <f t="shared" si="1"/>
        <v>www.cdnpages.ca/submit</v>
      </c>
    </row>
    <row r="42" spans="1:27" x14ac:dyDescent="0.25">
      <c r="A42" t="str">
        <f t="shared" si="0"/>
        <v>www.cleanyx.com/submit</v>
      </c>
      <c r="B42" t="s">
        <v>98</v>
      </c>
      <c r="C42" s="4" t="e">
        <f>VLOOKUP($A42,'A Main Database'!$A:$R,3,0)</f>
        <v>#N/A</v>
      </c>
      <c r="D42" t="e">
        <f>VLOOKUP($A42,'A Main Database'!$A:$R,4,0)</f>
        <v>#N/A</v>
      </c>
      <c r="E42" t="e">
        <f>VLOOKUP($A42,'A Main Database'!$A:$R,5,0)</f>
        <v>#N/A</v>
      </c>
      <c r="F42" t="e">
        <f>VLOOKUP($A42,'A Main Database'!$A:$R,6,0)</f>
        <v>#N/A</v>
      </c>
      <c r="G42" t="e">
        <f>VLOOKUP($A42,'A Main Database'!$A:$R,7,0)</f>
        <v>#N/A</v>
      </c>
      <c r="H42" t="e">
        <f>VLOOKUP($A42,'A Main Database'!$A:$R,8,0)</f>
        <v>#N/A</v>
      </c>
      <c r="I42" t="e">
        <f>VLOOKUP($A42,'A Main Database'!$A:$R,9,0)</f>
        <v>#N/A</v>
      </c>
      <c r="J42" t="e">
        <f>VLOOKUP($A42,'A Main Database'!$A:$R,10,0)</f>
        <v>#N/A</v>
      </c>
      <c r="K42" t="e">
        <f>VLOOKUP($A42,'A Main Database'!$A:$R,11,0)</f>
        <v>#N/A</v>
      </c>
      <c r="L42" t="e">
        <f>VLOOKUP($A42,'A Main Database'!$A:$R,12,0)</f>
        <v>#N/A</v>
      </c>
      <c r="M42" t="e">
        <f>VLOOKUP($A42,'A Main Database'!$A:$R,13,0)</f>
        <v>#N/A</v>
      </c>
      <c r="N42" t="e">
        <f>VLOOKUP($A42,'A Main Database'!$A:$R,14,0)</f>
        <v>#N/A</v>
      </c>
      <c r="O42" t="e">
        <f>VLOOKUP($A42,'A Main Database'!$A:$R,15,0)</f>
        <v>#N/A</v>
      </c>
      <c r="P42" s="6" t="e">
        <f>VLOOKUP($A42,'A Main Database'!$A:$R,16,0)</f>
        <v>#N/A</v>
      </c>
      <c r="Q42" t="e">
        <f>VLOOKUP($A42,'A Main Database'!$A:$R,17,0)</f>
        <v>#N/A</v>
      </c>
      <c r="R42" t="e">
        <f>VLOOKUP($A42,'A Main Database'!$A:$R,18,0)</f>
        <v>#N/A</v>
      </c>
      <c r="S42" t="e">
        <f>VLOOKUP($A42,'A Main Database'!$A:$R,19,0)</f>
        <v>#N/A</v>
      </c>
      <c r="U42" t="e">
        <f>VLOOKUP(B42,'A Main Database'!A:A,1,0)</f>
        <v>#N/A</v>
      </c>
      <c r="V42" t="e">
        <f>VLOOKUP(B42,'A Main Database'!I:I,1,0)</f>
        <v>#N/A</v>
      </c>
      <c r="W42" t="e">
        <f>VLOOKUP(B42,'A Main Database'!M:M,1,0)</f>
        <v>#N/A</v>
      </c>
      <c r="X42" t="e">
        <f>VLOOKUP(B42,'A Main Database'!P:P,1,0)</f>
        <v>#N/A</v>
      </c>
      <c r="Y42" t="s">
        <v>287</v>
      </c>
      <c r="Z42" t="s">
        <v>292</v>
      </c>
      <c r="AA42" t="str">
        <f t="shared" si="1"/>
        <v>www.cleanyx.com/submit</v>
      </c>
    </row>
    <row r="43" spans="1:27" x14ac:dyDescent="0.25">
      <c r="A43" t="str">
        <f t="shared" si="0"/>
        <v>www.emutop.net/submit</v>
      </c>
      <c r="B43" t="s">
        <v>99</v>
      </c>
      <c r="C43" s="4" t="e">
        <f>VLOOKUP($A43,'A Main Database'!$A:$R,3,0)</f>
        <v>#N/A</v>
      </c>
      <c r="D43" t="e">
        <f>VLOOKUP($A43,'A Main Database'!$A:$R,4,0)</f>
        <v>#N/A</v>
      </c>
      <c r="E43" t="e">
        <f>VLOOKUP($A43,'A Main Database'!$A:$R,5,0)</f>
        <v>#N/A</v>
      </c>
      <c r="F43" t="e">
        <f>VLOOKUP($A43,'A Main Database'!$A:$R,6,0)</f>
        <v>#N/A</v>
      </c>
      <c r="G43" t="e">
        <f>VLOOKUP($A43,'A Main Database'!$A:$R,7,0)</f>
        <v>#N/A</v>
      </c>
      <c r="H43" t="e">
        <f>VLOOKUP($A43,'A Main Database'!$A:$R,8,0)</f>
        <v>#N/A</v>
      </c>
      <c r="I43" t="e">
        <f>VLOOKUP($A43,'A Main Database'!$A:$R,9,0)</f>
        <v>#N/A</v>
      </c>
      <c r="J43" t="e">
        <f>VLOOKUP($A43,'A Main Database'!$A:$R,10,0)</f>
        <v>#N/A</v>
      </c>
      <c r="K43" t="e">
        <f>VLOOKUP($A43,'A Main Database'!$A:$R,11,0)</f>
        <v>#N/A</v>
      </c>
      <c r="L43" t="e">
        <f>VLOOKUP($A43,'A Main Database'!$A:$R,12,0)</f>
        <v>#N/A</v>
      </c>
      <c r="M43" t="e">
        <f>VLOOKUP($A43,'A Main Database'!$A:$R,13,0)</f>
        <v>#N/A</v>
      </c>
      <c r="N43" t="e">
        <f>VLOOKUP($A43,'A Main Database'!$A:$R,14,0)</f>
        <v>#N/A</v>
      </c>
      <c r="O43" t="e">
        <f>VLOOKUP($A43,'A Main Database'!$A:$R,15,0)</f>
        <v>#N/A</v>
      </c>
      <c r="P43" s="6" t="e">
        <f>VLOOKUP($A43,'A Main Database'!$A:$R,16,0)</f>
        <v>#N/A</v>
      </c>
      <c r="Q43" t="e">
        <f>VLOOKUP($A43,'A Main Database'!$A:$R,17,0)</f>
        <v>#N/A</v>
      </c>
      <c r="R43" t="e">
        <f>VLOOKUP($A43,'A Main Database'!$A:$R,18,0)</f>
        <v>#N/A</v>
      </c>
      <c r="S43" t="e">
        <f>VLOOKUP($A43,'A Main Database'!$A:$R,19,0)</f>
        <v>#N/A</v>
      </c>
      <c r="U43" t="e">
        <f>VLOOKUP(B43,'A Main Database'!A:A,1,0)</f>
        <v>#N/A</v>
      </c>
      <c r="V43" t="e">
        <f>VLOOKUP(B43,'A Main Database'!I:I,1,0)</f>
        <v>#N/A</v>
      </c>
      <c r="W43" t="e">
        <f>VLOOKUP(B43,'A Main Database'!M:M,1,0)</f>
        <v>#N/A</v>
      </c>
      <c r="X43" t="e">
        <f>VLOOKUP(B43,'A Main Database'!P:P,1,0)</f>
        <v>#N/A</v>
      </c>
      <c r="Y43" t="s">
        <v>287</v>
      </c>
      <c r="Z43" t="s">
        <v>292</v>
      </c>
      <c r="AA43" t="str">
        <f t="shared" si="1"/>
        <v>www.emutop.net/submit</v>
      </c>
    </row>
    <row r="44" spans="1:27" x14ac:dyDescent="0.25">
      <c r="A44" t="str">
        <f t="shared" si="0"/>
        <v>www.eqlic.com/submit</v>
      </c>
      <c r="B44" t="s">
        <v>100</v>
      </c>
      <c r="C44" s="4" t="e">
        <f>VLOOKUP($A44,'A Main Database'!$A:$R,3,0)</f>
        <v>#N/A</v>
      </c>
      <c r="D44" t="e">
        <f>VLOOKUP($A44,'A Main Database'!$A:$R,4,0)</f>
        <v>#N/A</v>
      </c>
      <c r="E44" t="e">
        <f>VLOOKUP($A44,'A Main Database'!$A:$R,5,0)</f>
        <v>#N/A</v>
      </c>
      <c r="F44" t="e">
        <f>VLOOKUP($A44,'A Main Database'!$A:$R,6,0)</f>
        <v>#N/A</v>
      </c>
      <c r="G44" t="e">
        <f>VLOOKUP($A44,'A Main Database'!$A:$R,7,0)</f>
        <v>#N/A</v>
      </c>
      <c r="H44" t="e">
        <f>VLOOKUP($A44,'A Main Database'!$A:$R,8,0)</f>
        <v>#N/A</v>
      </c>
      <c r="I44" t="e">
        <f>VLOOKUP($A44,'A Main Database'!$A:$R,9,0)</f>
        <v>#N/A</v>
      </c>
      <c r="J44" t="e">
        <f>VLOOKUP($A44,'A Main Database'!$A:$R,10,0)</f>
        <v>#N/A</v>
      </c>
      <c r="K44" t="e">
        <f>VLOOKUP($A44,'A Main Database'!$A:$R,11,0)</f>
        <v>#N/A</v>
      </c>
      <c r="L44" t="e">
        <f>VLOOKUP($A44,'A Main Database'!$A:$R,12,0)</f>
        <v>#N/A</v>
      </c>
      <c r="M44" t="e">
        <f>VLOOKUP($A44,'A Main Database'!$A:$R,13,0)</f>
        <v>#N/A</v>
      </c>
      <c r="N44" t="e">
        <f>VLOOKUP($A44,'A Main Database'!$A:$R,14,0)</f>
        <v>#N/A</v>
      </c>
      <c r="O44" t="e">
        <f>VLOOKUP($A44,'A Main Database'!$A:$R,15,0)</f>
        <v>#N/A</v>
      </c>
      <c r="P44" s="6" t="e">
        <f>VLOOKUP($A44,'A Main Database'!$A:$R,16,0)</f>
        <v>#N/A</v>
      </c>
      <c r="Q44" t="e">
        <f>VLOOKUP($A44,'A Main Database'!$A:$R,17,0)</f>
        <v>#N/A</v>
      </c>
      <c r="R44" t="e">
        <f>VLOOKUP($A44,'A Main Database'!$A:$R,18,0)</f>
        <v>#N/A</v>
      </c>
      <c r="S44" t="e">
        <f>VLOOKUP($A44,'A Main Database'!$A:$R,19,0)</f>
        <v>#N/A</v>
      </c>
      <c r="U44" t="e">
        <f>VLOOKUP(B44,'A Main Database'!A:A,1,0)</f>
        <v>#N/A</v>
      </c>
      <c r="V44" t="e">
        <f>VLOOKUP(B44,'A Main Database'!I:I,1,0)</f>
        <v>#N/A</v>
      </c>
      <c r="W44" t="e">
        <f>VLOOKUP(B44,'A Main Database'!M:M,1,0)</f>
        <v>#N/A</v>
      </c>
      <c r="X44" t="e">
        <f>VLOOKUP(B44,'A Main Database'!P:P,1,0)</f>
        <v>#N/A</v>
      </c>
      <c r="Y44" t="s">
        <v>287</v>
      </c>
      <c r="Z44" t="s">
        <v>292</v>
      </c>
      <c r="AA44" t="str">
        <f t="shared" si="1"/>
        <v>www.eqlic.com/submit</v>
      </c>
    </row>
    <row r="45" spans="1:27" x14ac:dyDescent="0.25">
      <c r="A45" t="str">
        <f t="shared" si="0"/>
        <v>www.fyple.ca/submit</v>
      </c>
      <c r="B45" t="s">
        <v>101</v>
      </c>
      <c r="C45" s="4" t="e">
        <f>VLOOKUP($A45,'A Main Database'!$A:$R,3,0)</f>
        <v>#N/A</v>
      </c>
      <c r="D45" t="e">
        <f>VLOOKUP($A45,'A Main Database'!$A:$R,4,0)</f>
        <v>#N/A</v>
      </c>
      <c r="E45" t="e">
        <f>VLOOKUP($A45,'A Main Database'!$A:$R,5,0)</f>
        <v>#N/A</v>
      </c>
      <c r="F45" t="e">
        <f>VLOOKUP($A45,'A Main Database'!$A:$R,6,0)</f>
        <v>#N/A</v>
      </c>
      <c r="G45" t="e">
        <f>VLOOKUP($A45,'A Main Database'!$A:$R,7,0)</f>
        <v>#N/A</v>
      </c>
      <c r="H45" t="e">
        <f>VLOOKUP($A45,'A Main Database'!$A:$R,8,0)</f>
        <v>#N/A</v>
      </c>
      <c r="I45" t="e">
        <f>VLOOKUP($A45,'A Main Database'!$A:$R,9,0)</f>
        <v>#N/A</v>
      </c>
      <c r="J45" t="e">
        <f>VLOOKUP($A45,'A Main Database'!$A:$R,10,0)</f>
        <v>#N/A</v>
      </c>
      <c r="K45" t="e">
        <f>VLOOKUP($A45,'A Main Database'!$A:$R,11,0)</f>
        <v>#N/A</v>
      </c>
      <c r="L45" t="e">
        <f>VLOOKUP($A45,'A Main Database'!$A:$R,12,0)</f>
        <v>#N/A</v>
      </c>
      <c r="M45" t="e">
        <f>VLOOKUP($A45,'A Main Database'!$A:$R,13,0)</f>
        <v>#N/A</v>
      </c>
      <c r="N45" t="e">
        <f>VLOOKUP($A45,'A Main Database'!$A:$R,14,0)</f>
        <v>#N/A</v>
      </c>
      <c r="O45" t="e">
        <f>VLOOKUP($A45,'A Main Database'!$A:$R,15,0)</f>
        <v>#N/A</v>
      </c>
      <c r="P45" s="6" t="e">
        <f>VLOOKUP($A45,'A Main Database'!$A:$R,16,0)</f>
        <v>#N/A</v>
      </c>
      <c r="Q45" t="e">
        <f>VLOOKUP($A45,'A Main Database'!$A:$R,17,0)</f>
        <v>#N/A</v>
      </c>
      <c r="R45" t="e">
        <f>VLOOKUP($A45,'A Main Database'!$A:$R,18,0)</f>
        <v>#N/A</v>
      </c>
      <c r="S45" t="e">
        <f>VLOOKUP($A45,'A Main Database'!$A:$R,19,0)</f>
        <v>#N/A</v>
      </c>
      <c r="U45" t="e">
        <f>VLOOKUP(B45,'A Main Database'!A:A,1,0)</f>
        <v>#N/A</v>
      </c>
      <c r="V45" t="e">
        <f>VLOOKUP(B45,'A Main Database'!I:I,1,0)</f>
        <v>#N/A</v>
      </c>
      <c r="W45" t="e">
        <f>VLOOKUP(B45,'A Main Database'!M:M,1,0)</f>
        <v>#N/A</v>
      </c>
      <c r="X45" t="e">
        <f>VLOOKUP(B45,'A Main Database'!P:P,1,0)</f>
        <v>#N/A</v>
      </c>
      <c r="Y45" t="s">
        <v>287</v>
      </c>
      <c r="Z45" t="s">
        <v>292</v>
      </c>
      <c r="AA45" t="str">
        <f t="shared" si="1"/>
        <v>www.fyple.ca/submit</v>
      </c>
    </row>
    <row r="46" spans="1:27" x14ac:dyDescent="0.25">
      <c r="A46" t="str">
        <f t="shared" si="0"/>
        <v>www.hisearch.today/submit</v>
      </c>
      <c r="B46" t="s">
        <v>102</v>
      </c>
      <c r="C46" s="4" t="e">
        <f>VLOOKUP($A46,'A Main Database'!$A:$R,3,0)</f>
        <v>#N/A</v>
      </c>
      <c r="D46" t="e">
        <f>VLOOKUP($A46,'A Main Database'!$A:$R,4,0)</f>
        <v>#N/A</v>
      </c>
      <c r="E46" t="e">
        <f>VLOOKUP($A46,'A Main Database'!$A:$R,5,0)</f>
        <v>#N/A</v>
      </c>
      <c r="F46" t="e">
        <f>VLOOKUP($A46,'A Main Database'!$A:$R,6,0)</f>
        <v>#N/A</v>
      </c>
      <c r="G46" t="e">
        <f>VLOOKUP($A46,'A Main Database'!$A:$R,7,0)</f>
        <v>#N/A</v>
      </c>
      <c r="H46" t="e">
        <f>VLOOKUP($A46,'A Main Database'!$A:$R,8,0)</f>
        <v>#N/A</v>
      </c>
      <c r="I46" t="e">
        <f>VLOOKUP($A46,'A Main Database'!$A:$R,9,0)</f>
        <v>#N/A</v>
      </c>
      <c r="J46" t="e">
        <f>VLOOKUP($A46,'A Main Database'!$A:$R,10,0)</f>
        <v>#N/A</v>
      </c>
      <c r="K46" t="e">
        <f>VLOOKUP($A46,'A Main Database'!$A:$R,11,0)</f>
        <v>#N/A</v>
      </c>
      <c r="L46" t="e">
        <f>VLOOKUP($A46,'A Main Database'!$A:$R,12,0)</f>
        <v>#N/A</v>
      </c>
      <c r="M46" t="e">
        <f>VLOOKUP($A46,'A Main Database'!$A:$R,13,0)</f>
        <v>#N/A</v>
      </c>
      <c r="N46" t="e">
        <f>VLOOKUP($A46,'A Main Database'!$A:$R,14,0)</f>
        <v>#N/A</v>
      </c>
      <c r="O46" t="e">
        <f>VLOOKUP($A46,'A Main Database'!$A:$R,15,0)</f>
        <v>#N/A</v>
      </c>
      <c r="P46" s="6" t="e">
        <f>VLOOKUP($A46,'A Main Database'!$A:$R,16,0)</f>
        <v>#N/A</v>
      </c>
      <c r="Q46" t="e">
        <f>VLOOKUP($A46,'A Main Database'!$A:$R,17,0)</f>
        <v>#N/A</v>
      </c>
      <c r="R46" t="e">
        <f>VLOOKUP($A46,'A Main Database'!$A:$R,18,0)</f>
        <v>#N/A</v>
      </c>
      <c r="S46" t="e">
        <f>VLOOKUP($A46,'A Main Database'!$A:$R,19,0)</f>
        <v>#N/A</v>
      </c>
      <c r="U46" t="e">
        <f>VLOOKUP(B46,'A Main Database'!A:A,1,0)</f>
        <v>#N/A</v>
      </c>
      <c r="V46" t="e">
        <f>VLOOKUP(B46,'A Main Database'!I:I,1,0)</f>
        <v>#N/A</v>
      </c>
      <c r="W46" t="e">
        <f>VLOOKUP(B46,'A Main Database'!M:M,1,0)</f>
        <v>#N/A</v>
      </c>
      <c r="X46" t="e">
        <f>VLOOKUP(B46,'A Main Database'!P:P,1,0)</f>
        <v>#N/A</v>
      </c>
      <c r="Y46" t="s">
        <v>287</v>
      </c>
      <c r="Z46" t="s">
        <v>292</v>
      </c>
      <c r="AA46" t="str">
        <f t="shared" si="1"/>
        <v>www.hisearch.today/submit</v>
      </c>
    </row>
    <row r="47" spans="1:27" x14ac:dyDescent="0.25">
      <c r="A47" t="str">
        <f t="shared" si="0"/>
        <v>www.ic.gc.ca/submit</v>
      </c>
      <c r="B47" t="s">
        <v>103</v>
      </c>
      <c r="C47" s="4" t="e">
        <f>VLOOKUP($A47,'A Main Database'!$A:$R,3,0)</f>
        <v>#N/A</v>
      </c>
      <c r="D47" t="e">
        <f>VLOOKUP($A47,'A Main Database'!$A:$R,4,0)</f>
        <v>#N/A</v>
      </c>
      <c r="E47" t="e">
        <f>VLOOKUP($A47,'A Main Database'!$A:$R,5,0)</f>
        <v>#N/A</v>
      </c>
      <c r="F47" t="e">
        <f>VLOOKUP($A47,'A Main Database'!$A:$R,6,0)</f>
        <v>#N/A</v>
      </c>
      <c r="G47" t="e">
        <f>VLOOKUP($A47,'A Main Database'!$A:$R,7,0)</f>
        <v>#N/A</v>
      </c>
      <c r="H47" t="e">
        <f>VLOOKUP($A47,'A Main Database'!$A:$R,8,0)</f>
        <v>#N/A</v>
      </c>
      <c r="I47" t="e">
        <f>VLOOKUP($A47,'A Main Database'!$A:$R,9,0)</f>
        <v>#N/A</v>
      </c>
      <c r="J47" t="e">
        <f>VLOOKUP($A47,'A Main Database'!$A:$R,10,0)</f>
        <v>#N/A</v>
      </c>
      <c r="K47" t="e">
        <f>VLOOKUP($A47,'A Main Database'!$A:$R,11,0)</f>
        <v>#N/A</v>
      </c>
      <c r="L47" t="e">
        <f>VLOOKUP($A47,'A Main Database'!$A:$R,12,0)</f>
        <v>#N/A</v>
      </c>
      <c r="M47" t="e">
        <f>VLOOKUP($A47,'A Main Database'!$A:$R,13,0)</f>
        <v>#N/A</v>
      </c>
      <c r="N47" t="e">
        <f>VLOOKUP($A47,'A Main Database'!$A:$R,14,0)</f>
        <v>#N/A</v>
      </c>
      <c r="O47" t="e">
        <f>VLOOKUP($A47,'A Main Database'!$A:$R,15,0)</f>
        <v>#N/A</v>
      </c>
      <c r="P47" s="6" t="e">
        <f>VLOOKUP($A47,'A Main Database'!$A:$R,16,0)</f>
        <v>#N/A</v>
      </c>
      <c r="Q47" t="e">
        <f>VLOOKUP($A47,'A Main Database'!$A:$R,17,0)</f>
        <v>#N/A</v>
      </c>
      <c r="R47" t="e">
        <f>VLOOKUP($A47,'A Main Database'!$A:$R,18,0)</f>
        <v>#N/A</v>
      </c>
      <c r="S47" t="e">
        <f>VLOOKUP($A47,'A Main Database'!$A:$R,19,0)</f>
        <v>#N/A</v>
      </c>
      <c r="U47" t="e">
        <f>VLOOKUP(B47,'A Main Database'!A:A,1,0)</f>
        <v>#N/A</v>
      </c>
      <c r="V47" t="e">
        <f>VLOOKUP(B47,'A Main Database'!I:I,1,0)</f>
        <v>#N/A</v>
      </c>
      <c r="W47" t="e">
        <f>VLOOKUP(B47,'A Main Database'!M:M,1,0)</f>
        <v>#N/A</v>
      </c>
      <c r="X47" t="e">
        <f>VLOOKUP(B47,'A Main Database'!P:P,1,0)</f>
        <v>#N/A</v>
      </c>
      <c r="Y47" t="s">
        <v>287</v>
      </c>
      <c r="Z47" t="s">
        <v>292</v>
      </c>
      <c r="AA47" t="str">
        <f t="shared" si="1"/>
        <v>www.ic.gc.ca/submit</v>
      </c>
    </row>
    <row r="48" spans="1:27" x14ac:dyDescent="0.25">
      <c r="A48" t="str">
        <f t="shared" si="0"/>
        <v>www.nexdu.com/submit</v>
      </c>
      <c r="B48" t="s">
        <v>104</v>
      </c>
      <c r="C48" s="4" t="e">
        <f>VLOOKUP($A48,'A Main Database'!$A:$R,3,0)</f>
        <v>#N/A</v>
      </c>
      <c r="D48" t="e">
        <f>VLOOKUP($A48,'A Main Database'!$A:$R,4,0)</f>
        <v>#N/A</v>
      </c>
      <c r="E48" t="e">
        <f>VLOOKUP($A48,'A Main Database'!$A:$R,5,0)</f>
        <v>#N/A</v>
      </c>
      <c r="F48" t="e">
        <f>VLOOKUP($A48,'A Main Database'!$A:$R,6,0)</f>
        <v>#N/A</v>
      </c>
      <c r="G48" t="e">
        <f>VLOOKUP($A48,'A Main Database'!$A:$R,7,0)</f>
        <v>#N/A</v>
      </c>
      <c r="H48" t="e">
        <f>VLOOKUP($A48,'A Main Database'!$A:$R,8,0)</f>
        <v>#N/A</v>
      </c>
      <c r="I48" t="e">
        <f>VLOOKUP($A48,'A Main Database'!$A:$R,9,0)</f>
        <v>#N/A</v>
      </c>
      <c r="J48" t="e">
        <f>VLOOKUP($A48,'A Main Database'!$A:$R,10,0)</f>
        <v>#N/A</v>
      </c>
      <c r="K48" t="e">
        <f>VLOOKUP($A48,'A Main Database'!$A:$R,11,0)</f>
        <v>#N/A</v>
      </c>
      <c r="L48" t="e">
        <f>VLOOKUP($A48,'A Main Database'!$A:$R,12,0)</f>
        <v>#N/A</v>
      </c>
      <c r="M48" t="e">
        <f>VLOOKUP($A48,'A Main Database'!$A:$R,13,0)</f>
        <v>#N/A</v>
      </c>
      <c r="N48" t="e">
        <f>VLOOKUP($A48,'A Main Database'!$A:$R,14,0)</f>
        <v>#N/A</v>
      </c>
      <c r="O48" t="e">
        <f>VLOOKUP($A48,'A Main Database'!$A:$R,15,0)</f>
        <v>#N/A</v>
      </c>
      <c r="P48" s="6" t="e">
        <f>VLOOKUP($A48,'A Main Database'!$A:$R,16,0)</f>
        <v>#N/A</v>
      </c>
      <c r="Q48" t="e">
        <f>VLOOKUP($A48,'A Main Database'!$A:$R,17,0)</f>
        <v>#N/A</v>
      </c>
      <c r="R48" t="e">
        <f>VLOOKUP($A48,'A Main Database'!$A:$R,18,0)</f>
        <v>#N/A</v>
      </c>
      <c r="S48" t="e">
        <f>VLOOKUP($A48,'A Main Database'!$A:$R,19,0)</f>
        <v>#N/A</v>
      </c>
      <c r="U48" t="e">
        <f>VLOOKUP(B48,'A Main Database'!A:A,1,0)</f>
        <v>#N/A</v>
      </c>
      <c r="V48" t="e">
        <f>VLOOKUP(B48,'A Main Database'!I:I,1,0)</f>
        <v>#N/A</v>
      </c>
      <c r="W48" t="e">
        <f>VLOOKUP(B48,'A Main Database'!M:M,1,0)</f>
        <v>#N/A</v>
      </c>
      <c r="X48" t="e">
        <f>VLOOKUP(B48,'A Main Database'!P:P,1,0)</f>
        <v>#N/A</v>
      </c>
      <c r="Y48" t="s">
        <v>287</v>
      </c>
      <c r="Z48" t="s">
        <v>292</v>
      </c>
      <c r="AA48" t="str">
        <f t="shared" si="1"/>
        <v>www.nexdu.com/submit</v>
      </c>
    </row>
    <row r="49" spans="1:27" x14ac:dyDescent="0.25">
      <c r="A49" t="str">
        <f t="shared" si="0"/>
        <v>www.ottawamove.com/submit</v>
      </c>
      <c r="B49" t="s">
        <v>105</v>
      </c>
      <c r="C49" s="4" t="e">
        <f>VLOOKUP($A49,'A Main Database'!$A:$R,3,0)</f>
        <v>#N/A</v>
      </c>
      <c r="D49" t="e">
        <f>VLOOKUP($A49,'A Main Database'!$A:$R,4,0)</f>
        <v>#N/A</v>
      </c>
      <c r="E49" t="e">
        <f>VLOOKUP($A49,'A Main Database'!$A:$R,5,0)</f>
        <v>#N/A</v>
      </c>
      <c r="F49" t="e">
        <f>VLOOKUP($A49,'A Main Database'!$A:$R,6,0)</f>
        <v>#N/A</v>
      </c>
      <c r="G49" t="e">
        <f>VLOOKUP($A49,'A Main Database'!$A:$R,7,0)</f>
        <v>#N/A</v>
      </c>
      <c r="H49" t="e">
        <f>VLOOKUP($A49,'A Main Database'!$A:$R,8,0)</f>
        <v>#N/A</v>
      </c>
      <c r="I49" t="e">
        <f>VLOOKUP($A49,'A Main Database'!$A:$R,9,0)</f>
        <v>#N/A</v>
      </c>
      <c r="J49" t="e">
        <f>VLOOKUP($A49,'A Main Database'!$A:$R,10,0)</f>
        <v>#N/A</v>
      </c>
      <c r="K49" t="e">
        <f>VLOOKUP($A49,'A Main Database'!$A:$R,11,0)</f>
        <v>#N/A</v>
      </c>
      <c r="L49" t="e">
        <f>VLOOKUP($A49,'A Main Database'!$A:$R,12,0)</f>
        <v>#N/A</v>
      </c>
      <c r="M49" t="e">
        <f>VLOOKUP($A49,'A Main Database'!$A:$R,13,0)</f>
        <v>#N/A</v>
      </c>
      <c r="N49" t="e">
        <f>VLOOKUP($A49,'A Main Database'!$A:$R,14,0)</f>
        <v>#N/A</v>
      </c>
      <c r="O49" t="e">
        <f>VLOOKUP($A49,'A Main Database'!$A:$R,15,0)</f>
        <v>#N/A</v>
      </c>
      <c r="P49" s="6" t="e">
        <f>VLOOKUP($A49,'A Main Database'!$A:$R,16,0)</f>
        <v>#N/A</v>
      </c>
      <c r="Q49" t="e">
        <f>VLOOKUP($A49,'A Main Database'!$A:$R,17,0)</f>
        <v>#N/A</v>
      </c>
      <c r="R49" t="e">
        <f>VLOOKUP($A49,'A Main Database'!$A:$R,18,0)</f>
        <v>#N/A</v>
      </c>
      <c r="S49" t="e">
        <f>VLOOKUP($A49,'A Main Database'!$A:$R,19,0)</f>
        <v>#N/A</v>
      </c>
      <c r="U49" t="e">
        <f>VLOOKUP(B49,'A Main Database'!A:A,1,0)</f>
        <v>#N/A</v>
      </c>
      <c r="V49" t="e">
        <f>VLOOKUP(B49,'A Main Database'!I:I,1,0)</f>
        <v>#N/A</v>
      </c>
      <c r="W49" t="e">
        <f>VLOOKUP(B49,'A Main Database'!M:M,1,0)</f>
        <v>#N/A</v>
      </c>
      <c r="X49" t="e">
        <f>VLOOKUP(B49,'A Main Database'!P:P,1,0)</f>
        <v>#N/A</v>
      </c>
      <c r="Y49" t="s">
        <v>287</v>
      </c>
      <c r="Z49" t="s">
        <v>292</v>
      </c>
      <c r="AA49" t="str">
        <f t="shared" si="1"/>
        <v>www.ottawamove.com/submit</v>
      </c>
    </row>
    <row r="50" spans="1:27" x14ac:dyDescent="0.25">
      <c r="A50" t="str">
        <f t="shared" si="0"/>
        <v>www.seekon.com/submit</v>
      </c>
      <c r="B50" t="s">
        <v>106</v>
      </c>
      <c r="C50" s="4" t="e">
        <f>VLOOKUP($A50,'A Main Database'!$A:$R,3,0)</f>
        <v>#N/A</v>
      </c>
      <c r="D50" t="e">
        <f>VLOOKUP($A50,'A Main Database'!$A:$R,4,0)</f>
        <v>#N/A</v>
      </c>
      <c r="E50" t="e">
        <f>VLOOKUP($A50,'A Main Database'!$A:$R,5,0)</f>
        <v>#N/A</v>
      </c>
      <c r="F50" t="e">
        <f>VLOOKUP($A50,'A Main Database'!$A:$R,6,0)</f>
        <v>#N/A</v>
      </c>
      <c r="G50" t="e">
        <f>VLOOKUP($A50,'A Main Database'!$A:$R,7,0)</f>
        <v>#N/A</v>
      </c>
      <c r="H50" t="e">
        <f>VLOOKUP($A50,'A Main Database'!$A:$R,8,0)</f>
        <v>#N/A</v>
      </c>
      <c r="I50" t="e">
        <f>VLOOKUP($A50,'A Main Database'!$A:$R,9,0)</f>
        <v>#N/A</v>
      </c>
      <c r="J50" t="e">
        <f>VLOOKUP($A50,'A Main Database'!$A:$R,10,0)</f>
        <v>#N/A</v>
      </c>
      <c r="K50" t="e">
        <f>VLOOKUP($A50,'A Main Database'!$A:$R,11,0)</f>
        <v>#N/A</v>
      </c>
      <c r="L50" t="e">
        <f>VLOOKUP($A50,'A Main Database'!$A:$R,12,0)</f>
        <v>#N/A</v>
      </c>
      <c r="M50" t="e">
        <f>VLOOKUP($A50,'A Main Database'!$A:$R,13,0)</f>
        <v>#N/A</v>
      </c>
      <c r="N50" t="e">
        <f>VLOOKUP($A50,'A Main Database'!$A:$R,14,0)</f>
        <v>#N/A</v>
      </c>
      <c r="O50" t="e">
        <f>VLOOKUP($A50,'A Main Database'!$A:$R,15,0)</f>
        <v>#N/A</v>
      </c>
      <c r="P50" s="6" t="e">
        <f>VLOOKUP($A50,'A Main Database'!$A:$R,16,0)</f>
        <v>#N/A</v>
      </c>
      <c r="Q50" t="e">
        <f>VLOOKUP($A50,'A Main Database'!$A:$R,17,0)</f>
        <v>#N/A</v>
      </c>
      <c r="R50" t="e">
        <f>VLOOKUP($A50,'A Main Database'!$A:$R,18,0)</f>
        <v>#N/A</v>
      </c>
      <c r="S50" t="e">
        <f>VLOOKUP($A50,'A Main Database'!$A:$R,19,0)</f>
        <v>#N/A</v>
      </c>
      <c r="U50" t="e">
        <f>VLOOKUP(B50,'A Main Database'!A:A,1,0)</f>
        <v>#N/A</v>
      </c>
      <c r="V50" t="e">
        <f>VLOOKUP(B50,'A Main Database'!I:I,1,0)</f>
        <v>#N/A</v>
      </c>
      <c r="W50" t="e">
        <f>VLOOKUP(B50,'A Main Database'!M:M,1,0)</f>
        <v>#N/A</v>
      </c>
      <c r="X50" t="e">
        <f>VLOOKUP(B50,'A Main Database'!P:P,1,0)</f>
        <v>#N/A</v>
      </c>
      <c r="Y50" t="s">
        <v>287</v>
      </c>
      <c r="Z50" t="s">
        <v>292</v>
      </c>
      <c r="AA50" t="str">
        <f t="shared" si="1"/>
        <v>www.seekon.com/submit</v>
      </c>
    </row>
    <row r="51" spans="1:27" x14ac:dyDescent="0.25">
      <c r="A51" t="str">
        <f t="shared" si="0"/>
        <v>www.sitedownrightnow.com/submit</v>
      </c>
      <c r="B51" t="s">
        <v>107</v>
      </c>
      <c r="C51" s="4" t="e">
        <f>VLOOKUP($A51,'A Main Database'!$A:$R,3,0)</f>
        <v>#N/A</v>
      </c>
      <c r="D51" t="e">
        <f>VLOOKUP($A51,'A Main Database'!$A:$R,4,0)</f>
        <v>#N/A</v>
      </c>
      <c r="E51" t="e">
        <f>VLOOKUP($A51,'A Main Database'!$A:$R,5,0)</f>
        <v>#N/A</v>
      </c>
      <c r="F51" t="e">
        <f>VLOOKUP($A51,'A Main Database'!$A:$R,6,0)</f>
        <v>#N/A</v>
      </c>
      <c r="G51" t="e">
        <f>VLOOKUP($A51,'A Main Database'!$A:$R,7,0)</f>
        <v>#N/A</v>
      </c>
      <c r="H51" t="e">
        <f>VLOOKUP($A51,'A Main Database'!$A:$R,8,0)</f>
        <v>#N/A</v>
      </c>
      <c r="I51" t="e">
        <f>VLOOKUP($A51,'A Main Database'!$A:$R,9,0)</f>
        <v>#N/A</v>
      </c>
      <c r="J51" t="e">
        <f>VLOOKUP($A51,'A Main Database'!$A:$R,10,0)</f>
        <v>#N/A</v>
      </c>
      <c r="K51" t="e">
        <f>VLOOKUP($A51,'A Main Database'!$A:$R,11,0)</f>
        <v>#N/A</v>
      </c>
      <c r="L51" t="e">
        <f>VLOOKUP($A51,'A Main Database'!$A:$R,12,0)</f>
        <v>#N/A</v>
      </c>
      <c r="M51" t="e">
        <f>VLOOKUP($A51,'A Main Database'!$A:$R,13,0)</f>
        <v>#N/A</v>
      </c>
      <c r="N51" t="e">
        <f>VLOOKUP($A51,'A Main Database'!$A:$R,14,0)</f>
        <v>#N/A</v>
      </c>
      <c r="O51" t="e">
        <f>VLOOKUP($A51,'A Main Database'!$A:$R,15,0)</f>
        <v>#N/A</v>
      </c>
      <c r="P51" s="6" t="e">
        <f>VLOOKUP($A51,'A Main Database'!$A:$R,16,0)</f>
        <v>#N/A</v>
      </c>
      <c r="Q51" t="e">
        <f>VLOOKUP($A51,'A Main Database'!$A:$R,17,0)</f>
        <v>#N/A</v>
      </c>
      <c r="R51" t="e">
        <f>VLOOKUP($A51,'A Main Database'!$A:$R,18,0)</f>
        <v>#N/A</v>
      </c>
      <c r="S51" t="e">
        <f>VLOOKUP($A51,'A Main Database'!$A:$R,19,0)</f>
        <v>#N/A</v>
      </c>
      <c r="U51" t="e">
        <f>VLOOKUP(B51,'A Main Database'!A:A,1,0)</f>
        <v>#N/A</v>
      </c>
      <c r="V51" t="e">
        <f>VLOOKUP(B51,'A Main Database'!I:I,1,0)</f>
        <v>#N/A</v>
      </c>
      <c r="W51" t="e">
        <f>VLOOKUP(B51,'A Main Database'!M:M,1,0)</f>
        <v>#N/A</v>
      </c>
      <c r="X51" t="e">
        <f>VLOOKUP(B51,'A Main Database'!P:P,1,0)</f>
        <v>#N/A</v>
      </c>
      <c r="Y51" t="s">
        <v>287</v>
      </c>
      <c r="Z51" t="s">
        <v>292</v>
      </c>
      <c r="AA51" t="str">
        <f t="shared" si="1"/>
        <v>www.sitedownrightnow.com/submit</v>
      </c>
    </row>
    <row r="52" spans="1:27" x14ac:dyDescent="0.25">
      <c r="A52" t="str">
        <f t="shared" si="0"/>
        <v>www.300blackbroth.com/submit</v>
      </c>
      <c r="B52" t="s">
        <v>130</v>
      </c>
      <c r="C52" s="4" t="e">
        <f>VLOOKUP($A52,'A Main Database'!$A:$R,3,0)</f>
        <v>#N/A</v>
      </c>
      <c r="D52" t="e">
        <f>VLOOKUP($A52,'A Main Database'!$A:$R,4,0)</f>
        <v>#N/A</v>
      </c>
      <c r="E52" t="e">
        <f>VLOOKUP($A52,'A Main Database'!$A:$R,5,0)</f>
        <v>#N/A</v>
      </c>
      <c r="F52" t="e">
        <f>VLOOKUP($A52,'A Main Database'!$A:$R,6,0)</f>
        <v>#N/A</v>
      </c>
      <c r="G52" t="e">
        <f>VLOOKUP($A52,'A Main Database'!$A:$R,7,0)</f>
        <v>#N/A</v>
      </c>
      <c r="H52" t="e">
        <f>VLOOKUP($A52,'A Main Database'!$A:$R,8,0)</f>
        <v>#N/A</v>
      </c>
      <c r="I52" t="e">
        <f>VLOOKUP($A52,'A Main Database'!$A:$R,9,0)</f>
        <v>#N/A</v>
      </c>
      <c r="J52" t="e">
        <f>VLOOKUP($A52,'A Main Database'!$A:$R,10,0)</f>
        <v>#N/A</v>
      </c>
      <c r="K52" t="e">
        <f>VLOOKUP($A52,'A Main Database'!$A:$R,11,0)</f>
        <v>#N/A</v>
      </c>
      <c r="L52" t="e">
        <f>VLOOKUP($A52,'A Main Database'!$A:$R,12,0)</f>
        <v>#N/A</v>
      </c>
      <c r="M52" t="e">
        <f>VLOOKUP($A52,'A Main Database'!$A:$R,13,0)</f>
        <v>#N/A</v>
      </c>
      <c r="N52" t="e">
        <f>VLOOKUP($A52,'A Main Database'!$A:$R,14,0)</f>
        <v>#N/A</v>
      </c>
      <c r="O52" t="e">
        <f>VLOOKUP($A52,'A Main Database'!$A:$R,15,0)</f>
        <v>#N/A</v>
      </c>
      <c r="P52" s="6" t="e">
        <f>VLOOKUP($A52,'A Main Database'!$A:$R,16,0)</f>
        <v>#N/A</v>
      </c>
      <c r="Q52" t="e">
        <f>VLOOKUP($A52,'A Main Database'!$A:$R,17,0)</f>
        <v>#N/A</v>
      </c>
      <c r="R52" t="e">
        <f>VLOOKUP($A52,'A Main Database'!$A:$R,18,0)</f>
        <v>#N/A</v>
      </c>
      <c r="S52" t="e">
        <f>VLOOKUP($A52,'A Main Database'!$A:$R,19,0)</f>
        <v>#N/A</v>
      </c>
      <c r="U52" t="e">
        <f>VLOOKUP(B52,'A Main Database'!A:A,1,0)</f>
        <v>#N/A</v>
      </c>
      <c r="V52" t="e">
        <f>VLOOKUP(B52,'A Main Database'!I:I,1,0)</f>
        <v>#N/A</v>
      </c>
      <c r="W52" t="e">
        <f>VLOOKUP(B52,'A Main Database'!M:M,1,0)</f>
        <v>#N/A</v>
      </c>
      <c r="X52" t="e">
        <f>VLOOKUP(B52,'A Main Database'!P:P,1,0)</f>
        <v>#N/A</v>
      </c>
      <c r="Y52" t="s">
        <v>287</v>
      </c>
      <c r="Z52" t="s">
        <v>292</v>
      </c>
      <c r="AA52" t="str">
        <f t="shared" si="1"/>
        <v>www.300blackbroth.com/submit</v>
      </c>
    </row>
    <row r="53" spans="1:27" x14ac:dyDescent="0.25">
      <c r="A53" t="str">
        <f t="shared" si="0"/>
        <v>www.aboutus.com/submit</v>
      </c>
      <c r="B53" t="s">
        <v>131</v>
      </c>
      <c r="C53" s="4" t="e">
        <f>VLOOKUP($A53,'A Main Database'!$A:$R,3,0)</f>
        <v>#N/A</v>
      </c>
      <c r="D53" t="e">
        <f>VLOOKUP($A53,'A Main Database'!$A:$R,4,0)</f>
        <v>#N/A</v>
      </c>
      <c r="E53" t="e">
        <f>VLOOKUP($A53,'A Main Database'!$A:$R,5,0)</f>
        <v>#N/A</v>
      </c>
      <c r="F53" t="e">
        <f>VLOOKUP($A53,'A Main Database'!$A:$R,6,0)</f>
        <v>#N/A</v>
      </c>
      <c r="G53" t="e">
        <f>VLOOKUP($A53,'A Main Database'!$A:$R,7,0)</f>
        <v>#N/A</v>
      </c>
      <c r="H53" t="e">
        <f>VLOOKUP($A53,'A Main Database'!$A:$R,8,0)</f>
        <v>#N/A</v>
      </c>
      <c r="I53" t="e">
        <f>VLOOKUP($A53,'A Main Database'!$A:$R,9,0)</f>
        <v>#N/A</v>
      </c>
      <c r="J53" t="e">
        <f>VLOOKUP($A53,'A Main Database'!$A:$R,10,0)</f>
        <v>#N/A</v>
      </c>
      <c r="K53" t="e">
        <f>VLOOKUP($A53,'A Main Database'!$A:$R,11,0)</f>
        <v>#N/A</v>
      </c>
      <c r="L53" t="e">
        <f>VLOOKUP($A53,'A Main Database'!$A:$R,12,0)</f>
        <v>#N/A</v>
      </c>
      <c r="M53" t="e">
        <f>VLOOKUP($A53,'A Main Database'!$A:$R,13,0)</f>
        <v>#N/A</v>
      </c>
      <c r="N53" t="e">
        <f>VLOOKUP($A53,'A Main Database'!$A:$R,14,0)</f>
        <v>#N/A</v>
      </c>
      <c r="O53" t="e">
        <f>VLOOKUP($A53,'A Main Database'!$A:$R,15,0)</f>
        <v>#N/A</v>
      </c>
      <c r="P53" s="6" t="e">
        <f>VLOOKUP($A53,'A Main Database'!$A:$R,16,0)</f>
        <v>#N/A</v>
      </c>
      <c r="Q53" t="e">
        <f>VLOOKUP($A53,'A Main Database'!$A:$R,17,0)</f>
        <v>#N/A</v>
      </c>
      <c r="R53" t="e">
        <f>VLOOKUP($A53,'A Main Database'!$A:$R,18,0)</f>
        <v>#N/A</v>
      </c>
      <c r="S53" t="e">
        <f>VLOOKUP($A53,'A Main Database'!$A:$R,19,0)</f>
        <v>#N/A</v>
      </c>
      <c r="U53" t="e">
        <f>VLOOKUP(B53,'A Main Database'!A:A,1,0)</f>
        <v>#N/A</v>
      </c>
      <c r="V53" t="e">
        <f>VLOOKUP(B53,'A Main Database'!I:I,1,0)</f>
        <v>#N/A</v>
      </c>
      <c r="W53" t="e">
        <f>VLOOKUP(B53,'A Main Database'!M:M,1,0)</f>
        <v>#N/A</v>
      </c>
      <c r="X53" t="e">
        <f>VLOOKUP(B53,'A Main Database'!P:P,1,0)</f>
        <v>#N/A</v>
      </c>
      <c r="Y53" t="s">
        <v>287</v>
      </c>
      <c r="Z53" t="s">
        <v>292</v>
      </c>
      <c r="AA53" t="str">
        <f t="shared" si="1"/>
        <v>www.aboutus.com/submit</v>
      </c>
    </row>
    <row r="54" spans="1:27" x14ac:dyDescent="0.25">
      <c r="A54" t="str">
        <f t="shared" si="0"/>
        <v>http://injoybusiness.co/submit</v>
      </c>
      <c r="B54" t="s">
        <v>132</v>
      </c>
      <c r="C54" s="4" t="e">
        <f>VLOOKUP($A54,'A Main Database'!$A:$R,3,0)</f>
        <v>#N/A</v>
      </c>
      <c r="D54" t="e">
        <f>VLOOKUP($A54,'A Main Database'!$A:$R,4,0)</f>
        <v>#N/A</v>
      </c>
      <c r="E54" t="e">
        <f>VLOOKUP($A54,'A Main Database'!$A:$R,5,0)</f>
        <v>#N/A</v>
      </c>
      <c r="F54" t="e">
        <f>VLOOKUP($A54,'A Main Database'!$A:$R,6,0)</f>
        <v>#N/A</v>
      </c>
      <c r="G54" t="e">
        <f>VLOOKUP($A54,'A Main Database'!$A:$R,7,0)</f>
        <v>#N/A</v>
      </c>
      <c r="H54" t="e">
        <f>VLOOKUP($A54,'A Main Database'!$A:$R,8,0)</f>
        <v>#N/A</v>
      </c>
      <c r="I54" t="e">
        <f>VLOOKUP($A54,'A Main Database'!$A:$R,9,0)</f>
        <v>#N/A</v>
      </c>
      <c r="J54" t="e">
        <f>VLOOKUP($A54,'A Main Database'!$A:$R,10,0)</f>
        <v>#N/A</v>
      </c>
      <c r="K54" t="e">
        <f>VLOOKUP($A54,'A Main Database'!$A:$R,11,0)</f>
        <v>#N/A</v>
      </c>
      <c r="L54" t="e">
        <f>VLOOKUP($A54,'A Main Database'!$A:$R,12,0)</f>
        <v>#N/A</v>
      </c>
      <c r="M54" t="e">
        <f>VLOOKUP($A54,'A Main Database'!$A:$R,13,0)</f>
        <v>#N/A</v>
      </c>
      <c r="N54" t="e">
        <f>VLOOKUP($A54,'A Main Database'!$A:$R,14,0)</f>
        <v>#N/A</v>
      </c>
      <c r="O54" t="e">
        <f>VLOOKUP($A54,'A Main Database'!$A:$R,15,0)</f>
        <v>#N/A</v>
      </c>
      <c r="P54" s="6" t="e">
        <f>VLOOKUP($A54,'A Main Database'!$A:$R,16,0)</f>
        <v>#N/A</v>
      </c>
      <c r="Q54" t="e">
        <f>VLOOKUP($A54,'A Main Database'!$A:$R,17,0)</f>
        <v>#N/A</v>
      </c>
      <c r="R54" t="e">
        <f>VLOOKUP($A54,'A Main Database'!$A:$R,18,0)</f>
        <v>#N/A</v>
      </c>
      <c r="S54" t="e">
        <f>VLOOKUP($A54,'A Main Database'!$A:$R,19,0)</f>
        <v>#N/A</v>
      </c>
      <c r="U54" t="e">
        <f>VLOOKUP(B54,'A Main Database'!A:A,1,0)</f>
        <v>#N/A</v>
      </c>
      <c r="V54" t="e">
        <f>VLOOKUP(B54,'A Main Database'!I:I,1,0)</f>
        <v>#N/A</v>
      </c>
      <c r="W54" t="e">
        <f>VLOOKUP(B54,'A Main Database'!M:M,1,0)</f>
        <v>#N/A</v>
      </c>
      <c r="X54" t="e">
        <f>VLOOKUP(B54,'A Main Database'!P:P,1,0)</f>
        <v>#N/A</v>
      </c>
      <c r="Y54" t="s">
        <v>287</v>
      </c>
      <c r="Z54" t="s">
        <v>292</v>
      </c>
      <c r="AA54" t="str">
        <f t="shared" si="1"/>
        <v>http://injoybusiness.co/submit</v>
      </c>
    </row>
    <row r="55" spans="1:27" x14ac:dyDescent="0.25">
      <c r="A55" t="str">
        <f t="shared" si="0"/>
        <v>https://bizfluent.com/submit</v>
      </c>
      <c r="B55" t="s">
        <v>133</v>
      </c>
      <c r="C55" s="4" t="e">
        <f>VLOOKUP($A55,'A Main Database'!$A:$R,3,0)</f>
        <v>#N/A</v>
      </c>
      <c r="D55" t="e">
        <f>VLOOKUP($A55,'A Main Database'!$A:$R,4,0)</f>
        <v>#N/A</v>
      </c>
      <c r="E55" t="e">
        <f>VLOOKUP($A55,'A Main Database'!$A:$R,5,0)</f>
        <v>#N/A</v>
      </c>
      <c r="F55" t="e">
        <f>VLOOKUP($A55,'A Main Database'!$A:$R,6,0)</f>
        <v>#N/A</v>
      </c>
      <c r="G55" t="e">
        <f>VLOOKUP($A55,'A Main Database'!$A:$R,7,0)</f>
        <v>#N/A</v>
      </c>
      <c r="H55" t="e">
        <f>VLOOKUP($A55,'A Main Database'!$A:$R,8,0)</f>
        <v>#N/A</v>
      </c>
      <c r="I55" t="e">
        <f>VLOOKUP($A55,'A Main Database'!$A:$R,9,0)</f>
        <v>#N/A</v>
      </c>
      <c r="J55" t="e">
        <f>VLOOKUP($A55,'A Main Database'!$A:$R,10,0)</f>
        <v>#N/A</v>
      </c>
      <c r="K55" t="e">
        <f>VLOOKUP($A55,'A Main Database'!$A:$R,11,0)</f>
        <v>#N/A</v>
      </c>
      <c r="L55" t="e">
        <f>VLOOKUP($A55,'A Main Database'!$A:$R,12,0)</f>
        <v>#N/A</v>
      </c>
      <c r="M55" t="e">
        <f>VLOOKUP($A55,'A Main Database'!$A:$R,13,0)</f>
        <v>#N/A</v>
      </c>
      <c r="N55" t="e">
        <f>VLOOKUP($A55,'A Main Database'!$A:$R,14,0)</f>
        <v>#N/A</v>
      </c>
      <c r="O55" t="e">
        <f>VLOOKUP($A55,'A Main Database'!$A:$R,15,0)</f>
        <v>#N/A</v>
      </c>
      <c r="P55" s="6" t="e">
        <f>VLOOKUP($A55,'A Main Database'!$A:$R,16,0)</f>
        <v>#N/A</v>
      </c>
      <c r="Q55" t="e">
        <f>VLOOKUP($A55,'A Main Database'!$A:$R,17,0)</f>
        <v>#N/A</v>
      </c>
      <c r="R55" t="e">
        <f>VLOOKUP($A55,'A Main Database'!$A:$R,18,0)</f>
        <v>#N/A</v>
      </c>
      <c r="S55" t="e">
        <f>VLOOKUP($A55,'A Main Database'!$A:$R,19,0)</f>
        <v>#N/A</v>
      </c>
      <c r="U55" t="e">
        <f>VLOOKUP(B55,'A Main Database'!A:A,1,0)</f>
        <v>#N/A</v>
      </c>
      <c r="V55" t="e">
        <f>VLOOKUP(B55,'A Main Database'!I:I,1,0)</f>
        <v>#N/A</v>
      </c>
      <c r="W55" t="e">
        <f>VLOOKUP(B55,'A Main Database'!M:M,1,0)</f>
        <v>#N/A</v>
      </c>
      <c r="X55" t="e">
        <f>VLOOKUP(B55,'A Main Database'!P:P,1,0)</f>
        <v>#N/A</v>
      </c>
      <c r="Y55" t="s">
        <v>287</v>
      </c>
      <c r="Z55" t="s">
        <v>292</v>
      </c>
      <c r="AA55" t="str">
        <f t="shared" si="1"/>
        <v>https://bizfluent.com/submit</v>
      </c>
    </row>
    <row r="56" spans="1:27" x14ac:dyDescent="0.25">
      <c r="A56" t="str">
        <f t="shared" si="0"/>
        <v>https://businessabc.ca/submit</v>
      </c>
      <c r="B56" t="s">
        <v>134</v>
      </c>
      <c r="C56" s="4" t="e">
        <f>VLOOKUP($A56,'A Main Database'!$A:$R,3,0)</f>
        <v>#N/A</v>
      </c>
      <c r="D56" t="e">
        <f>VLOOKUP($A56,'A Main Database'!$A:$R,4,0)</f>
        <v>#N/A</v>
      </c>
      <c r="E56" t="e">
        <f>VLOOKUP($A56,'A Main Database'!$A:$R,5,0)</f>
        <v>#N/A</v>
      </c>
      <c r="F56" t="e">
        <f>VLOOKUP($A56,'A Main Database'!$A:$R,6,0)</f>
        <v>#N/A</v>
      </c>
      <c r="G56" t="e">
        <f>VLOOKUP($A56,'A Main Database'!$A:$R,7,0)</f>
        <v>#N/A</v>
      </c>
      <c r="H56" t="e">
        <f>VLOOKUP($A56,'A Main Database'!$A:$R,8,0)</f>
        <v>#N/A</v>
      </c>
      <c r="I56" t="e">
        <f>VLOOKUP($A56,'A Main Database'!$A:$R,9,0)</f>
        <v>#N/A</v>
      </c>
      <c r="J56" t="e">
        <f>VLOOKUP($A56,'A Main Database'!$A:$R,10,0)</f>
        <v>#N/A</v>
      </c>
      <c r="K56" t="e">
        <f>VLOOKUP($A56,'A Main Database'!$A:$R,11,0)</f>
        <v>#N/A</v>
      </c>
      <c r="L56" t="e">
        <f>VLOOKUP($A56,'A Main Database'!$A:$R,12,0)</f>
        <v>#N/A</v>
      </c>
      <c r="M56" t="e">
        <f>VLOOKUP($A56,'A Main Database'!$A:$R,13,0)</f>
        <v>#N/A</v>
      </c>
      <c r="N56" t="e">
        <f>VLOOKUP($A56,'A Main Database'!$A:$R,14,0)</f>
        <v>#N/A</v>
      </c>
      <c r="O56" t="e">
        <f>VLOOKUP($A56,'A Main Database'!$A:$R,15,0)</f>
        <v>#N/A</v>
      </c>
      <c r="P56" s="6" t="e">
        <f>VLOOKUP($A56,'A Main Database'!$A:$R,16,0)</f>
        <v>#N/A</v>
      </c>
      <c r="Q56" t="e">
        <f>VLOOKUP($A56,'A Main Database'!$A:$R,17,0)</f>
        <v>#N/A</v>
      </c>
      <c r="R56" t="e">
        <f>VLOOKUP($A56,'A Main Database'!$A:$R,18,0)</f>
        <v>#N/A</v>
      </c>
      <c r="S56" t="e">
        <f>VLOOKUP($A56,'A Main Database'!$A:$R,19,0)</f>
        <v>#N/A</v>
      </c>
      <c r="U56" t="e">
        <f>VLOOKUP(B56,'A Main Database'!A:A,1,0)</f>
        <v>#N/A</v>
      </c>
      <c r="V56" t="e">
        <f>VLOOKUP(B56,'A Main Database'!I:I,1,0)</f>
        <v>#N/A</v>
      </c>
      <c r="W56" t="e">
        <f>VLOOKUP(B56,'A Main Database'!M:M,1,0)</f>
        <v>#N/A</v>
      </c>
      <c r="X56" t="e">
        <f>VLOOKUP(B56,'A Main Database'!P:P,1,0)</f>
        <v>#N/A</v>
      </c>
      <c r="Y56" t="s">
        <v>287</v>
      </c>
      <c r="Z56" t="s">
        <v>292</v>
      </c>
      <c r="AA56" t="str">
        <f t="shared" si="1"/>
        <v>https://businessabc.ca/submit</v>
      </c>
    </row>
    <row r="57" spans="1:27" x14ac:dyDescent="0.25">
      <c r="A57" t="str">
        <f t="shared" si="0"/>
        <v>http://canadaregistry.ca/submit</v>
      </c>
      <c r="B57" t="s">
        <v>135</v>
      </c>
      <c r="C57" s="4" t="e">
        <f>VLOOKUP($A57,'A Main Database'!$A:$R,3,0)</f>
        <v>#N/A</v>
      </c>
      <c r="D57" t="e">
        <f>VLOOKUP($A57,'A Main Database'!$A:$R,4,0)</f>
        <v>#N/A</v>
      </c>
      <c r="E57" t="e">
        <f>VLOOKUP($A57,'A Main Database'!$A:$R,5,0)</f>
        <v>#N/A</v>
      </c>
      <c r="F57" t="e">
        <f>VLOOKUP($A57,'A Main Database'!$A:$R,6,0)</f>
        <v>#N/A</v>
      </c>
      <c r="G57" t="e">
        <f>VLOOKUP($A57,'A Main Database'!$A:$R,7,0)</f>
        <v>#N/A</v>
      </c>
      <c r="H57" t="e">
        <f>VLOOKUP($A57,'A Main Database'!$A:$R,8,0)</f>
        <v>#N/A</v>
      </c>
      <c r="I57" t="e">
        <f>VLOOKUP($A57,'A Main Database'!$A:$R,9,0)</f>
        <v>#N/A</v>
      </c>
      <c r="J57" t="e">
        <f>VLOOKUP($A57,'A Main Database'!$A:$R,10,0)</f>
        <v>#N/A</v>
      </c>
      <c r="K57" t="e">
        <f>VLOOKUP($A57,'A Main Database'!$A:$R,11,0)</f>
        <v>#N/A</v>
      </c>
      <c r="L57" t="e">
        <f>VLOOKUP($A57,'A Main Database'!$A:$R,12,0)</f>
        <v>#N/A</v>
      </c>
      <c r="M57" t="e">
        <f>VLOOKUP($A57,'A Main Database'!$A:$R,13,0)</f>
        <v>#N/A</v>
      </c>
      <c r="N57" t="e">
        <f>VLOOKUP($A57,'A Main Database'!$A:$R,14,0)</f>
        <v>#N/A</v>
      </c>
      <c r="O57" t="e">
        <f>VLOOKUP($A57,'A Main Database'!$A:$R,15,0)</f>
        <v>#N/A</v>
      </c>
      <c r="P57" s="6" t="e">
        <f>VLOOKUP($A57,'A Main Database'!$A:$R,16,0)</f>
        <v>#N/A</v>
      </c>
      <c r="Q57" t="e">
        <f>VLOOKUP($A57,'A Main Database'!$A:$R,17,0)</f>
        <v>#N/A</v>
      </c>
      <c r="R57" t="e">
        <f>VLOOKUP($A57,'A Main Database'!$A:$R,18,0)</f>
        <v>#N/A</v>
      </c>
      <c r="S57" t="e">
        <f>VLOOKUP($A57,'A Main Database'!$A:$R,19,0)</f>
        <v>#N/A</v>
      </c>
      <c r="U57" t="e">
        <f>VLOOKUP(B57,'A Main Database'!A:A,1,0)</f>
        <v>#N/A</v>
      </c>
      <c r="V57" t="e">
        <f>VLOOKUP(B57,'A Main Database'!I:I,1,0)</f>
        <v>#N/A</v>
      </c>
      <c r="W57" t="e">
        <f>VLOOKUP(B57,'A Main Database'!M:M,1,0)</f>
        <v>#N/A</v>
      </c>
      <c r="X57" t="e">
        <f>VLOOKUP(B57,'A Main Database'!P:P,1,0)</f>
        <v>#N/A</v>
      </c>
      <c r="Y57" t="s">
        <v>287</v>
      </c>
      <c r="Z57" t="s">
        <v>292</v>
      </c>
      <c r="AA57" t="str">
        <f t="shared" si="1"/>
        <v>http://canadaregistry.ca/submit</v>
      </c>
    </row>
    <row r="58" spans="1:27" x14ac:dyDescent="0.25">
      <c r="A58" t="str">
        <f t="shared" si="0"/>
        <v>https://www.cleaningfranchiseebunwaru.blogspot.com/submit</v>
      </c>
      <c r="B58" t="s">
        <v>136</v>
      </c>
      <c r="C58" s="4" t="e">
        <f>VLOOKUP($A58,'A Main Database'!$A:$R,3,0)</f>
        <v>#N/A</v>
      </c>
      <c r="D58" t="e">
        <f>VLOOKUP($A58,'A Main Database'!$A:$R,4,0)</f>
        <v>#N/A</v>
      </c>
      <c r="E58" t="e">
        <f>VLOOKUP($A58,'A Main Database'!$A:$R,5,0)</f>
        <v>#N/A</v>
      </c>
      <c r="F58" t="e">
        <f>VLOOKUP($A58,'A Main Database'!$A:$R,6,0)</f>
        <v>#N/A</v>
      </c>
      <c r="G58" t="e">
        <f>VLOOKUP($A58,'A Main Database'!$A:$R,7,0)</f>
        <v>#N/A</v>
      </c>
      <c r="H58" t="e">
        <f>VLOOKUP($A58,'A Main Database'!$A:$R,8,0)</f>
        <v>#N/A</v>
      </c>
      <c r="I58" t="e">
        <f>VLOOKUP($A58,'A Main Database'!$A:$R,9,0)</f>
        <v>#N/A</v>
      </c>
      <c r="J58" t="e">
        <f>VLOOKUP($A58,'A Main Database'!$A:$R,10,0)</f>
        <v>#N/A</v>
      </c>
      <c r="K58" t="e">
        <f>VLOOKUP($A58,'A Main Database'!$A:$R,11,0)</f>
        <v>#N/A</v>
      </c>
      <c r="L58" t="e">
        <f>VLOOKUP($A58,'A Main Database'!$A:$R,12,0)</f>
        <v>#N/A</v>
      </c>
      <c r="M58" t="e">
        <f>VLOOKUP($A58,'A Main Database'!$A:$R,13,0)</f>
        <v>#N/A</v>
      </c>
      <c r="N58" t="e">
        <f>VLOOKUP($A58,'A Main Database'!$A:$R,14,0)</f>
        <v>#N/A</v>
      </c>
      <c r="O58" t="e">
        <f>VLOOKUP($A58,'A Main Database'!$A:$R,15,0)</f>
        <v>#N/A</v>
      </c>
      <c r="P58" s="6" t="e">
        <f>VLOOKUP($A58,'A Main Database'!$A:$R,16,0)</f>
        <v>#N/A</v>
      </c>
      <c r="Q58" t="e">
        <f>VLOOKUP($A58,'A Main Database'!$A:$R,17,0)</f>
        <v>#N/A</v>
      </c>
      <c r="R58" t="e">
        <f>VLOOKUP($A58,'A Main Database'!$A:$R,18,0)</f>
        <v>#N/A</v>
      </c>
      <c r="S58" t="e">
        <f>VLOOKUP($A58,'A Main Database'!$A:$R,19,0)</f>
        <v>#N/A</v>
      </c>
      <c r="U58" t="e">
        <f>VLOOKUP(B58,'A Main Database'!A:A,1,0)</f>
        <v>#N/A</v>
      </c>
      <c r="V58" t="e">
        <f>VLOOKUP(B58,'A Main Database'!I:I,1,0)</f>
        <v>#N/A</v>
      </c>
      <c r="W58" t="e">
        <f>VLOOKUP(B58,'A Main Database'!M:M,1,0)</f>
        <v>#N/A</v>
      </c>
      <c r="X58" t="e">
        <f>VLOOKUP(B58,'A Main Database'!P:P,1,0)</f>
        <v>#N/A</v>
      </c>
      <c r="Y58" t="s">
        <v>287</v>
      </c>
      <c r="Z58" t="s">
        <v>292</v>
      </c>
      <c r="AA58" t="str">
        <f t="shared" si="1"/>
        <v>https://www.cleaningfranchiseebunwaru.blogspot.com/submit</v>
      </c>
    </row>
    <row r="59" spans="1:27" x14ac:dyDescent="0.25">
      <c r="A59" t="str">
        <f t="shared" si="0"/>
        <v>https://www.cleaningfranchisemachifuna.blogspot.com/submit</v>
      </c>
      <c r="B59" t="s">
        <v>137</v>
      </c>
      <c r="C59" s="4" t="e">
        <f>VLOOKUP($A59,'A Main Database'!$A:$R,3,0)</f>
        <v>#N/A</v>
      </c>
      <c r="D59" t="e">
        <f>VLOOKUP($A59,'A Main Database'!$A:$R,4,0)</f>
        <v>#N/A</v>
      </c>
      <c r="E59" t="e">
        <f>VLOOKUP($A59,'A Main Database'!$A:$R,5,0)</f>
        <v>#N/A</v>
      </c>
      <c r="F59" t="e">
        <f>VLOOKUP($A59,'A Main Database'!$A:$R,6,0)</f>
        <v>#N/A</v>
      </c>
      <c r="G59" t="e">
        <f>VLOOKUP($A59,'A Main Database'!$A:$R,7,0)</f>
        <v>#N/A</v>
      </c>
      <c r="H59" t="e">
        <f>VLOOKUP($A59,'A Main Database'!$A:$R,8,0)</f>
        <v>#N/A</v>
      </c>
      <c r="I59" t="e">
        <f>VLOOKUP($A59,'A Main Database'!$A:$R,9,0)</f>
        <v>#N/A</v>
      </c>
      <c r="J59" t="e">
        <f>VLOOKUP($A59,'A Main Database'!$A:$R,10,0)</f>
        <v>#N/A</v>
      </c>
      <c r="K59" t="e">
        <f>VLOOKUP($A59,'A Main Database'!$A:$R,11,0)</f>
        <v>#N/A</v>
      </c>
      <c r="L59" t="e">
        <f>VLOOKUP($A59,'A Main Database'!$A:$R,12,0)</f>
        <v>#N/A</v>
      </c>
      <c r="M59" t="e">
        <f>VLOOKUP($A59,'A Main Database'!$A:$R,13,0)</f>
        <v>#N/A</v>
      </c>
      <c r="N59" t="e">
        <f>VLOOKUP($A59,'A Main Database'!$A:$R,14,0)</f>
        <v>#N/A</v>
      </c>
      <c r="O59" t="e">
        <f>VLOOKUP($A59,'A Main Database'!$A:$R,15,0)</f>
        <v>#N/A</v>
      </c>
      <c r="P59" s="6" t="e">
        <f>VLOOKUP($A59,'A Main Database'!$A:$R,16,0)</f>
        <v>#N/A</v>
      </c>
      <c r="Q59" t="e">
        <f>VLOOKUP($A59,'A Main Database'!$A:$R,17,0)</f>
        <v>#N/A</v>
      </c>
      <c r="R59" t="e">
        <f>VLOOKUP($A59,'A Main Database'!$A:$R,18,0)</f>
        <v>#N/A</v>
      </c>
      <c r="S59" t="e">
        <f>VLOOKUP($A59,'A Main Database'!$A:$R,19,0)</f>
        <v>#N/A</v>
      </c>
      <c r="U59" t="e">
        <f>VLOOKUP(B59,'A Main Database'!A:A,1,0)</f>
        <v>#N/A</v>
      </c>
      <c r="V59" t="e">
        <f>VLOOKUP(B59,'A Main Database'!I:I,1,0)</f>
        <v>#N/A</v>
      </c>
      <c r="W59" t="e">
        <f>VLOOKUP(B59,'A Main Database'!M:M,1,0)</f>
        <v>#N/A</v>
      </c>
      <c r="X59" t="e">
        <f>VLOOKUP(B59,'A Main Database'!P:P,1,0)</f>
        <v>#N/A</v>
      </c>
      <c r="Y59" t="s">
        <v>287</v>
      </c>
      <c r="Z59" t="s">
        <v>292</v>
      </c>
      <c r="AA59" t="str">
        <f t="shared" si="1"/>
        <v>https://www.cleaningfranchisemachifuna.blogspot.com/submit</v>
      </c>
    </row>
    <row r="60" spans="1:27" x14ac:dyDescent="0.25">
      <c r="A60" t="str">
        <f t="shared" si="0"/>
        <v>www.cleaningfranchisemoagen.blogspot.com/submit</v>
      </c>
      <c r="B60" t="s">
        <v>138</v>
      </c>
      <c r="C60" s="4" t="e">
        <f>VLOOKUP($A60,'A Main Database'!$A:$R,3,0)</f>
        <v>#N/A</v>
      </c>
      <c r="D60" t="e">
        <f>VLOOKUP($A60,'A Main Database'!$A:$R,4,0)</f>
        <v>#N/A</v>
      </c>
      <c r="E60" t="e">
        <f>VLOOKUP($A60,'A Main Database'!$A:$R,5,0)</f>
        <v>#N/A</v>
      </c>
      <c r="F60" t="e">
        <f>VLOOKUP($A60,'A Main Database'!$A:$R,6,0)</f>
        <v>#N/A</v>
      </c>
      <c r="G60" t="e">
        <f>VLOOKUP($A60,'A Main Database'!$A:$R,7,0)</f>
        <v>#N/A</v>
      </c>
      <c r="H60" t="e">
        <f>VLOOKUP($A60,'A Main Database'!$A:$R,8,0)</f>
        <v>#N/A</v>
      </c>
      <c r="I60" t="e">
        <f>VLOOKUP($A60,'A Main Database'!$A:$R,9,0)</f>
        <v>#N/A</v>
      </c>
      <c r="J60" t="e">
        <f>VLOOKUP($A60,'A Main Database'!$A:$R,10,0)</f>
        <v>#N/A</v>
      </c>
      <c r="K60" t="e">
        <f>VLOOKUP($A60,'A Main Database'!$A:$R,11,0)</f>
        <v>#N/A</v>
      </c>
      <c r="L60" t="e">
        <f>VLOOKUP($A60,'A Main Database'!$A:$R,12,0)</f>
        <v>#N/A</v>
      </c>
      <c r="M60" t="e">
        <f>VLOOKUP($A60,'A Main Database'!$A:$R,13,0)</f>
        <v>#N/A</v>
      </c>
      <c r="N60" t="e">
        <f>VLOOKUP($A60,'A Main Database'!$A:$R,14,0)</f>
        <v>#N/A</v>
      </c>
      <c r="O60" t="e">
        <f>VLOOKUP($A60,'A Main Database'!$A:$R,15,0)</f>
        <v>#N/A</v>
      </c>
      <c r="P60" s="6" t="e">
        <f>VLOOKUP($A60,'A Main Database'!$A:$R,16,0)</f>
        <v>#N/A</v>
      </c>
      <c r="Q60" t="e">
        <f>VLOOKUP($A60,'A Main Database'!$A:$R,17,0)</f>
        <v>#N/A</v>
      </c>
      <c r="R60" t="e">
        <f>VLOOKUP($A60,'A Main Database'!$A:$R,18,0)</f>
        <v>#N/A</v>
      </c>
      <c r="S60" t="e">
        <f>VLOOKUP($A60,'A Main Database'!$A:$R,19,0)</f>
        <v>#N/A</v>
      </c>
      <c r="U60" t="e">
        <f>VLOOKUP(B60,'A Main Database'!A:A,1,0)</f>
        <v>#N/A</v>
      </c>
      <c r="V60" t="e">
        <f>VLOOKUP(B60,'A Main Database'!I:I,1,0)</f>
        <v>#N/A</v>
      </c>
      <c r="W60" t="e">
        <f>VLOOKUP(B60,'A Main Database'!M:M,1,0)</f>
        <v>#N/A</v>
      </c>
      <c r="X60" t="e">
        <f>VLOOKUP(B60,'A Main Database'!P:P,1,0)</f>
        <v>#N/A</v>
      </c>
      <c r="Y60" t="s">
        <v>287</v>
      </c>
      <c r="Z60" t="s">
        <v>292</v>
      </c>
      <c r="AA60" t="str">
        <f t="shared" si="1"/>
        <v>www.cleaningfranchisemoagen.blogspot.com/submit</v>
      </c>
    </row>
    <row r="61" spans="1:27" x14ac:dyDescent="0.25">
      <c r="A61" t="str">
        <f t="shared" si="0"/>
        <v>www.cleaningfranchiseruzik.blogspot.com/submit</v>
      </c>
      <c r="B61" t="s">
        <v>139</v>
      </c>
      <c r="C61" s="4" t="e">
        <f>VLOOKUP($A61,'A Main Database'!$A:$R,3,0)</f>
        <v>#N/A</v>
      </c>
      <c r="D61" t="e">
        <f>VLOOKUP($A61,'A Main Database'!$A:$R,4,0)</f>
        <v>#N/A</v>
      </c>
      <c r="E61" t="e">
        <f>VLOOKUP($A61,'A Main Database'!$A:$R,5,0)</f>
        <v>#N/A</v>
      </c>
      <c r="F61" t="e">
        <f>VLOOKUP($A61,'A Main Database'!$A:$R,6,0)</f>
        <v>#N/A</v>
      </c>
      <c r="G61" t="e">
        <f>VLOOKUP($A61,'A Main Database'!$A:$R,7,0)</f>
        <v>#N/A</v>
      </c>
      <c r="H61" t="e">
        <f>VLOOKUP($A61,'A Main Database'!$A:$R,8,0)</f>
        <v>#N/A</v>
      </c>
      <c r="I61" t="e">
        <f>VLOOKUP($A61,'A Main Database'!$A:$R,9,0)</f>
        <v>#N/A</v>
      </c>
      <c r="J61" t="e">
        <f>VLOOKUP($A61,'A Main Database'!$A:$R,10,0)</f>
        <v>#N/A</v>
      </c>
      <c r="K61" t="e">
        <f>VLOOKUP($A61,'A Main Database'!$A:$R,11,0)</f>
        <v>#N/A</v>
      </c>
      <c r="L61" t="e">
        <f>VLOOKUP($A61,'A Main Database'!$A:$R,12,0)</f>
        <v>#N/A</v>
      </c>
      <c r="M61" t="e">
        <f>VLOOKUP($A61,'A Main Database'!$A:$R,13,0)</f>
        <v>#N/A</v>
      </c>
      <c r="N61" t="e">
        <f>VLOOKUP($A61,'A Main Database'!$A:$R,14,0)</f>
        <v>#N/A</v>
      </c>
      <c r="O61" t="e">
        <f>VLOOKUP($A61,'A Main Database'!$A:$R,15,0)</f>
        <v>#N/A</v>
      </c>
      <c r="P61" s="6" t="e">
        <f>VLOOKUP($A61,'A Main Database'!$A:$R,16,0)</f>
        <v>#N/A</v>
      </c>
      <c r="Q61" t="e">
        <f>VLOOKUP($A61,'A Main Database'!$A:$R,17,0)</f>
        <v>#N/A</v>
      </c>
      <c r="R61" t="e">
        <f>VLOOKUP($A61,'A Main Database'!$A:$R,18,0)</f>
        <v>#N/A</v>
      </c>
      <c r="S61" t="e">
        <f>VLOOKUP($A61,'A Main Database'!$A:$R,19,0)</f>
        <v>#N/A</v>
      </c>
      <c r="U61" t="e">
        <f>VLOOKUP(B61,'A Main Database'!A:A,1,0)</f>
        <v>#N/A</v>
      </c>
      <c r="V61" t="e">
        <f>VLOOKUP(B61,'A Main Database'!I:I,1,0)</f>
        <v>#N/A</v>
      </c>
      <c r="W61" t="e">
        <f>VLOOKUP(B61,'A Main Database'!M:M,1,0)</f>
        <v>#N/A</v>
      </c>
      <c r="X61" t="e">
        <f>VLOOKUP(B61,'A Main Database'!P:P,1,0)</f>
        <v>#N/A</v>
      </c>
      <c r="Y61" t="s">
        <v>287</v>
      </c>
      <c r="Z61" t="s">
        <v>292</v>
      </c>
      <c r="AA61" t="str">
        <f t="shared" si="1"/>
        <v>www.cleaningfranchiseruzik.blogspot.com/submit</v>
      </c>
    </row>
    <row r="62" spans="1:27" x14ac:dyDescent="0.25">
      <c r="A62" t="str">
        <f t="shared" si="0"/>
        <v>http://yudu.com/submit</v>
      </c>
      <c r="B62" t="s">
        <v>140</v>
      </c>
      <c r="C62" s="4" t="e">
        <f>VLOOKUP($A62,'A Main Database'!$A:$R,3,0)</f>
        <v>#N/A</v>
      </c>
      <c r="D62" t="e">
        <f>VLOOKUP($A62,'A Main Database'!$A:$R,4,0)</f>
        <v>#N/A</v>
      </c>
      <c r="E62" t="e">
        <f>VLOOKUP($A62,'A Main Database'!$A:$R,5,0)</f>
        <v>#N/A</v>
      </c>
      <c r="F62" t="e">
        <f>VLOOKUP($A62,'A Main Database'!$A:$R,6,0)</f>
        <v>#N/A</v>
      </c>
      <c r="G62" t="e">
        <f>VLOOKUP($A62,'A Main Database'!$A:$R,7,0)</f>
        <v>#N/A</v>
      </c>
      <c r="H62" t="e">
        <f>VLOOKUP($A62,'A Main Database'!$A:$R,8,0)</f>
        <v>#N/A</v>
      </c>
      <c r="I62" t="e">
        <f>VLOOKUP($A62,'A Main Database'!$A:$R,9,0)</f>
        <v>#N/A</v>
      </c>
      <c r="J62" t="e">
        <f>VLOOKUP($A62,'A Main Database'!$A:$R,10,0)</f>
        <v>#N/A</v>
      </c>
      <c r="K62" t="e">
        <f>VLOOKUP($A62,'A Main Database'!$A:$R,11,0)</f>
        <v>#N/A</v>
      </c>
      <c r="L62" t="e">
        <f>VLOOKUP($A62,'A Main Database'!$A:$R,12,0)</f>
        <v>#N/A</v>
      </c>
      <c r="M62" t="e">
        <f>VLOOKUP($A62,'A Main Database'!$A:$R,13,0)</f>
        <v>#N/A</v>
      </c>
      <c r="N62" t="e">
        <f>VLOOKUP($A62,'A Main Database'!$A:$R,14,0)</f>
        <v>#N/A</v>
      </c>
      <c r="O62" t="e">
        <f>VLOOKUP($A62,'A Main Database'!$A:$R,15,0)</f>
        <v>#N/A</v>
      </c>
      <c r="P62" s="6" t="e">
        <f>VLOOKUP($A62,'A Main Database'!$A:$R,16,0)</f>
        <v>#N/A</v>
      </c>
      <c r="Q62" t="e">
        <f>VLOOKUP($A62,'A Main Database'!$A:$R,17,0)</f>
        <v>#N/A</v>
      </c>
      <c r="R62" t="e">
        <f>VLOOKUP($A62,'A Main Database'!$A:$R,18,0)</f>
        <v>#N/A</v>
      </c>
      <c r="S62" t="e">
        <f>VLOOKUP($A62,'A Main Database'!$A:$R,19,0)</f>
        <v>#N/A</v>
      </c>
      <c r="U62" t="e">
        <f>VLOOKUP(B62,'A Main Database'!A:A,1,0)</f>
        <v>#N/A</v>
      </c>
      <c r="V62" t="e">
        <f>VLOOKUP(B62,'A Main Database'!I:I,1,0)</f>
        <v>#N/A</v>
      </c>
      <c r="W62" t="e">
        <f>VLOOKUP(B62,'A Main Database'!M:M,1,0)</f>
        <v>#N/A</v>
      </c>
      <c r="X62" t="e">
        <f>VLOOKUP(B62,'A Main Database'!P:P,1,0)</f>
        <v>#N/A</v>
      </c>
      <c r="Y62" t="s">
        <v>287</v>
      </c>
      <c r="Z62" t="s">
        <v>292</v>
      </c>
      <c r="AA62" t="str">
        <f t="shared" si="1"/>
        <v>http://yudu.com/submit</v>
      </c>
    </row>
    <row r="63" spans="1:27" x14ac:dyDescent="0.25">
      <c r="A63" t="str">
        <f t="shared" si="0"/>
        <v>https://hubspot.com/submit</v>
      </c>
      <c r="B63" t="s">
        <v>141</v>
      </c>
      <c r="C63" s="4" t="e">
        <f>VLOOKUP($A63,'A Main Database'!$A:$R,3,0)</f>
        <v>#N/A</v>
      </c>
      <c r="D63" t="e">
        <f>VLOOKUP($A63,'A Main Database'!$A:$R,4,0)</f>
        <v>#N/A</v>
      </c>
      <c r="E63" t="e">
        <f>VLOOKUP($A63,'A Main Database'!$A:$R,5,0)</f>
        <v>#N/A</v>
      </c>
      <c r="F63" t="e">
        <f>VLOOKUP($A63,'A Main Database'!$A:$R,6,0)</f>
        <v>#N/A</v>
      </c>
      <c r="G63" t="e">
        <f>VLOOKUP($A63,'A Main Database'!$A:$R,7,0)</f>
        <v>#N/A</v>
      </c>
      <c r="H63" t="e">
        <f>VLOOKUP($A63,'A Main Database'!$A:$R,8,0)</f>
        <v>#N/A</v>
      </c>
      <c r="I63" t="e">
        <f>VLOOKUP($A63,'A Main Database'!$A:$R,9,0)</f>
        <v>#N/A</v>
      </c>
      <c r="J63" t="e">
        <f>VLOOKUP($A63,'A Main Database'!$A:$R,10,0)</f>
        <v>#N/A</v>
      </c>
      <c r="K63" t="e">
        <f>VLOOKUP($A63,'A Main Database'!$A:$R,11,0)</f>
        <v>#N/A</v>
      </c>
      <c r="L63" t="e">
        <f>VLOOKUP($A63,'A Main Database'!$A:$R,12,0)</f>
        <v>#N/A</v>
      </c>
      <c r="M63" t="e">
        <f>VLOOKUP($A63,'A Main Database'!$A:$R,13,0)</f>
        <v>#N/A</v>
      </c>
      <c r="N63" t="e">
        <f>VLOOKUP($A63,'A Main Database'!$A:$R,14,0)</f>
        <v>#N/A</v>
      </c>
      <c r="O63" t="e">
        <f>VLOOKUP($A63,'A Main Database'!$A:$R,15,0)</f>
        <v>#N/A</v>
      </c>
      <c r="P63" s="6" t="e">
        <f>VLOOKUP($A63,'A Main Database'!$A:$R,16,0)</f>
        <v>#N/A</v>
      </c>
      <c r="Q63" t="e">
        <f>VLOOKUP($A63,'A Main Database'!$A:$R,17,0)</f>
        <v>#N/A</v>
      </c>
      <c r="R63" t="e">
        <f>VLOOKUP($A63,'A Main Database'!$A:$R,18,0)</f>
        <v>#N/A</v>
      </c>
      <c r="S63" t="e">
        <f>VLOOKUP($A63,'A Main Database'!$A:$R,19,0)</f>
        <v>#N/A</v>
      </c>
      <c r="U63" t="e">
        <f>VLOOKUP(B63,'A Main Database'!A:A,1,0)</f>
        <v>#N/A</v>
      </c>
      <c r="V63" t="e">
        <f>VLOOKUP(B63,'A Main Database'!I:I,1,0)</f>
        <v>#N/A</v>
      </c>
      <c r="W63" t="e">
        <f>VLOOKUP(B63,'A Main Database'!M:M,1,0)</f>
        <v>#N/A</v>
      </c>
      <c r="X63" t="e">
        <f>VLOOKUP(B63,'A Main Database'!P:P,1,0)</f>
        <v>#N/A</v>
      </c>
      <c r="Y63" t="s">
        <v>287</v>
      </c>
      <c r="Z63" t="s">
        <v>292</v>
      </c>
      <c r="AA63" t="str">
        <f t="shared" si="1"/>
        <v>https://hubspot.com/submit</v>
      </c>
    </row>
    <row r="64" spans="1:27" x14ac:dyDescent="0.25">
      <c r="A64" t="str">
        <f t="shared" si="0"/>
        <v>https://justlanded.com/submit</v>
      </c>
      <c r="B64" t="s">
        <v>142</v>
      </c>
      <c r="C64" s="4" t="e">
        <f>VLOOKUP($A64,'A Main Database'!$A:$R,3,0)</f>
        <v>#N/A</v>
      </c>
      <c r="D64" t="e">
        <f>VLOOKUP($A64,'A Main Database'!$A:$R,4,0)</f>
        <v>#N/A</v>
      </c>
      <c r="E64" t="e">
        <f>VLOOKUP($A64,'A Main Database'!$A:$R,5,0)</f>
        <v>#N/A</v>
      </c>
      <c r="F64" t="e">
        <f>VLOOKUP($A64,'A Main Database'!$A:$R,6,0)</f>
        <v>#N/A</v>
      </c>
      <c r="G64" t="e">
        <f>VLOOKUP($A64,'A Main Database'!$A:$R,7,0)</f>
        <v>#N/A</v>
      </c>
      <c r="H64" t="e">
        <f>VLOOKUP($A64,'A Main Database'!$A:$R,8,0)</f>
        <v>#N/A</v>
      </c>
      <c r="I64" t="e">
        <f>VLOOKUP($A64,'A Main Database'!$A:$R,9,0)</f>
        <v>#N/A</v>
      </c>
      <c r="J64" t="e">
        <f>VLOOKUP($A64,'A Main Database'!$A:$R,10,0)</f>
        <v>#N/A</v>
      </c>
      <c r="K64" t="e">
        <f>VLOOKUP($A64,'A Main Database'!$A:$R,11,0)</f>
        <v>#N/A</v>
      </c>
      <c r="L64" t="e">
        <f>VLOOKUP($A64,'A Main Database'!$A:$R,12,0)</f>
        <v>#N/A</v>
      </c>
      <c r="M64" t="e">
        <f>VLOOKUP($A64,'A Main Database'!$A:$R,13,0)</f>
        <v>#N/A</v>
      </c>
      <c r="N64" t="e">
        <f>VLOOKUP($A64,'A Main Database'!$A:$R,14,0)</f>
        <v>#N/A</v>
      </c>
      <c r="O64" t="e">
        <f>VLOOKUP($A64,'A Main Database'!$A:$R,15,0)</f>
        <v>#N/A</v>
      </c>
      <c r="P64" s="6" t="e">
        <f>VLOOKUP($A64,'A Main Database'!$A:$R,16,0)</f>
        <v>#N/A</v>
      </c>
      <c r="Q64" t="e">
        <f>VLOOKUP($A64,'A Main Database'!$A:$R,17,0)</f>
        <v>#N/A</v>
      </c>
      <c r="R64" t="e">
        <f>VLOOKUP($A64,'A Main Database'!$A:$R,18,0)</f>
        <v>#N/A</v>
      </c>
      <c r="S64" t="e">
        <f>VLOOKUP($A64,'A Main Database'!$A:$R,19,0)</f>
        <v>#N/A</v>
      </c>
      <c r="U64" t="e">
        <f>VLOOKUP(B64,'A Main Database'!A:A,1,0)</f>
        <v>#N/A</v>
      </c>
      <c r="V64" t="e">
        <f>VLOOKUP(B64,'A Main Database'!I:I,1,0)</f>
        <v>#N/A</v>
      </c>
      <c r="W64" t="e">
        <f>VLOOKUP(B64,'A Main Database'!M:M,1,0)</f>
        <v>#N/A</v>
      </c>
      <c r="X64" t="e">
        <f>VLOOKUP(B64,'A Main Database'!P:P,1,0)</f>
        <v>#N/A</v>
      </c>
      <c r="Y64" t="s">
        <v>287</v>
      </c>
      <c r="Z64" t="s">
        <v>292</v>
      </c>
      <c r="AA64" t="str">
        <f t="shared" si="1"/>
        <v>https://justlanded.com/submit</v>
      </c>
    </row>
    <row r="65" spans="1:27" x14ac:dyDescent="0.25">
      <c r="A65" t="str">
        <f t="shared" si="0"/>
        <v>http://emprendimientosros.com/submit</v>
      </c>
      <c r="B65" t="s">
        <v>143</v>
      </c>
      <c r="C65" s="4" t="e">
        <f>VLOOKUP($A65,'A Main Database'!$A:$R,3,0)</f>
        <v>#N/A</v>
      </c>
      <c r="D65" t="e">
        <f>VLOOKUP($A65,'A Main Database'!$A:$R,4,0)</f>
        <v>#N/A</v>
      </c>
      <c r="E65" t="e">
        <f>VLOOKUP($A65,'A Main Database'!$A:$R,5,0)</f>
        <v>#N/A</v>
      </c>
      <c r="F65" t="e">
        <f>VLOOKUP($A65,'A Main Database'!$A:$R,6,0)</f>
        <v>#N/A</v>
      </c>
      <c r="G65" t="e">
        <f>VLOOKUP($A65,'A Main Database'!$A:$R,7,0)</f>
        <v>#N/A</v>
      </c>
      <c r="H65" t="e">
        <f>VLOOKUP($A65,'A Main Database'!$A:$R,8,0)</f>
        <v>#N/A</v>
      </c>
      <c r="I65" t="e">
        <f>VLOOKUP($A65,'A Main Database'!$A:$R,9,0)</f>
        <v>#N/A</v>
      </c>
      <c r="J65" t="e">
        <f>VLOOKUP($A65,'A Main Database'!$A:$R,10,0)</f>
        <v>#N/A</v>
      </c>
      <c r="K65" t="e">
        <f>VLOOKUP($A65,'A Main Database'!$A:$R,11,0)</f>
        <v>#N/A</v>
      </c>
      <c r="L65" t="e">
        <f>VLOOKUP($A65,'A Main Database'!$A:$R,12,0)</f>
        <v>#N/A</v>
      </c>
      <c r="M65" t="e">
        <f>VLOOKUP($A65,'A Main Database'!$A:$R,13,0)</f>
        <v>#N/A</v>
      </c>
      <c r="N65" t="e">
        <f>VLOOKUP($A65,'A Main Database'!$A:$R,14,0)</f>
        <v>#N/A</v>
      </c>
      <c r="O65" t="e">
        <f>VLOOKUP($A65,'A Main Database'!$A:$R,15,0)</f>
        <v>#N/A</v>
      </c>
      <c r="P65" s="6" t="e">
        <f>VLOOKUP($A65,'A Main Database'!$A:$R,16,0)</f>
        <v>#N/A</v>
      </c>
      <c r="Q65" t="e">
        <f>VLOOKUP($A65,'A Main Database'!$A:$R,17,0)</f>
        <v>#N/A</v>
      </c>
      <c r="R65" t="e">
        <f>VLOOKUP($A65,'A Main Database'!$A:$R,18,0)</f>
        <v>#N/A</v>
      </c>
      <c r="S65" t="e">
        <f>VLOOKUP($A65,'A Main Database'!$A:$R,19,0)</f>
        <v>#N/A</v>
      </c>
      <c r="U65" t="e">
        <f>VLOOKUP(B65,'A Main Database'!A:A,1,0)</f>
        <v>#N/A</v>
      </c>
      <c r="V65" t="e">
        <f>VLOOKUP(B65,'A Main Database'!I:I,1,0)</f>
        <v>#N/A</v>
      </c>
      <c r="W65" t="e">
        <f>VLOOKUP(B65,'A Main Database'!M:M,1,0)</f>
        <v>#N/A</v>
      </c>
      <c r="X65" t="e">
        <f>VLOOKUP(B65,'A Main Database'!P:P,1,0)</f>
        <v>#N/A</v>
      </c>
      <c r="Y65" t="s">
        <v>287</v>
      </c>
      <c r="Z65" t="s">
        <v>292</v>
      </c>
      <c r="AA65" t="str">
        <f t="shared" si="1"/>
        <v>http://emprendimientosros.com/submit</v>
      </c>
    </row>
    <row r="66" spans="1:27" x14ac:dyDescent="0.25">
      <c r="A66" t="str">
        <f t="shared" si="0"/>
        <v>https://www.franchise-business.net/submit</v>
      </c>
      <c r="B66" t="s">
        <v>144</v>
      </c>
      <c r="C66" s="4" t="e">
        <f>VLOOKUP($A66,'A Main Database'!$A:$R,3,0)</f>
        <v>#N/A</v>
      </c>
      <c r="D66" t="e">
        <f>VLOOKUP($A66,'A Main Database'!$A:$R,4,0)</f>
        <v>#N/A</v>
      </c>
      <c r="E66" t="e">
        <f>VLOOKUP($A66,'A Main Database'!$A:$R,5,0)</f>
        <v>#N/A</v>
      </c>
      <c r="F66" t="e">
        <f>VLOOKUP($A66,'A Main Database'!$A:$R,6,0)</f>
        <v>#N/A</v>
      </c>
      <c r="G66" t="e">
        <f>VLOOKUP($A66,'A Main Database'!$A:$R,7,0)</f>
        <v>#N/A</v>
      </c>
      <c r="H66" t="e">
        <f>VLOOKUP($A66,'A Main Database'!$A:$R,8,0)</f>
        <v>#N/A</v>
      </c>
      <c r="I66" t="e">
        <f>VLOOKUP($A66,'A Main Database'!$A:$R,9,0)</f>
        <v>#N/A</v>
      </c>
      <c r="J66" t="e">
        <f>VLOOKUP($A66,'A Main Database'!$A:$R,10,0)</f>
        <v>#N/A</v>
      </c>
      <c r="K66" t="e">
        <f>VLOOKUP($A66,'A Main Database'!$A:$R,11,0)</f>
        <v>#N/A</v>
      </c>
      <c r="L66" t="e">
        <f>VLOOKUP($A66,'A Main Database'!$A:$R,12,0)</f>
        <v>#N/A</v>
      </c>
      <c r="M66" t="e">
        <f>VLOOKUP($A66,'A Main Database'!$A:$R,13,0)</f>
        <v>#N/A</v>
      </c>
      <c r="N66" t="e">
        <f>VLOOKUP($A66,'A Main Database'!$A:$R,14,0)</f>
        <v>#N/A</v>
      </c>
      <c r="O66" t="e">
        <f>VLOOKUP($A66,'A Main Database'!$A:$R,15,0)</f>
        <v>#N/A</v>
      </c>
      <c r="P66" s="6" t="e">
        <f>VLOOKUP($A66,'A Main Database'!$A:$R,16,0)</f>
        <v>#N/A</v>
      </c>
      <c r="Q66" t="e">
        <f>VLOOKUP($A66,'A Main Database'!$A:$R,17,0)</f>
        <v>#N/A</v>
      </c>
      <c r="R66" t="e">
        <f>VLOOKUP($A66,'A Main Database'!$A:$R,18,0)</f>
        <v>#N/A</v>
      </c>
      <c r="S66" t="e">
        <f>VLOOKUP($A66,'A Main Database'!$A:$R,19,0)</f>
        <v>#N/A</v>
      </c>
      <c r="U66" t="e">
        <f>VLOOKUP(B66,'A Main Database'!A:A,1,0)</f>
        <v>#N/A</v>
      </c>
      <c r="V66" t="e">
        <f>VLOOKUP(B66,'A Main Database'!I:I,1,0)</f>
        <v>#N/A</v>
      </c>
      <c r="W66" t="e">
        <f>VLOOKUP(B66,'A Main Database'!M:M,1,0)</f>
        <v>#N/A</v>
      </c>
      <c r="X66" t="e">
        <f>VLOOKUP(B66,'A Main Database'!P:P,1,0)</f>
        <v>#N/A</v>
      </c>
      <c r="Y66" t="s">
        <v>287</v>
      </c>
      <c r="Z66" t="s">
        <v>292</v>
      </c>
      <c r="AA66" t="str">
        <f t="shared" si="1"/>
        <v>https://www.franchise-business.net/submit</v>
      </c>
    </row>
    <row r="67" spans="1:27" x14ac:dyDescent="0.25">
      <c r="A67" t="str">
        <f t="shared" si="0"/>
        <v>https://www.gust.com/submit</v>
      </c>
      <c r="B67" t="s">
        <v>145</v>
      </c>
      <c r="C67" s="4" t="e">
        <f>VLOOKUP($A67,'A Main Database'!$A:$R,3,0)</f>
        <v>#N/A</v>
      </c>
      <c r="D67" t="e">
        <f>VLOOKUP($A67,'A Main Database'!$A:$R,4,0)</f>
        <v>#N/A</v>
      </c>
      <c r="E67" t="e">
        <f>VLOOKUP($A67,'A Main Database'!$A:$R,5,0)</f>
        <v>#N/A</v>
      </c>
      <c r="F67" t="e">
        <f>VLOOKUP($A67,'A Main Database'!$A:$R,6,0)</f>
        <v>#N/A</v>
      </c>
      <c r="G67" t="e">
        <f>VLOOKUP($A67,'A Main Database'!$A:$R,7,0)</f>
        <v>#N/A</v>
      </c>
      <c r="H67" t="e">
        <f>VLOOKUP($A67,'A Main Database'!$A:$R,8,0)</f>
        <v>#N/A</v>
      </c>
      <c r="I67" t="e">
        <f>VLOOKUP($A67,'A Main Database'!$A:$R,9,0)</f>
        <v>#N/A</v>
      </c>
      <c r="J67" t="e">
        <f>VLOOKUP($A67,'A Main Database'!$A:$R,10,0)</f>
        <v>#N/A</v>
      </c>
      <c r="K67" t="e">
        <f>VLOOKUP($A67,'A Main Database'!$A:$R,11,0)</f>
        <v>#N/A</v>
      </c>
      <c r="L67" t="e">
        <f>VLOOKUP($A67,'A Main Database'!$A:$R,12,0)</f>
        <v>#N/A</v>
      </c>
      <c r="M67" t="e">
        <f>VLOOKUP($A67,'A Main Database'!$A:$R,13,0)</f>
        <v>#N/A</v>
      </c>
      <c r="N67" t="e">
        <f>VLOOKUP($A67,'A Main Database'!$A:$R,14,0)</f>
        <v>#N/A</v>
      </c>
      <c r="O67" t="e">
        <f>VLOOKUP($A67,'A Main Database'!$A:$R,15,0)</f>
        <v>#N/A</v>
      </c>
      <c r="P67" s="6" t="e">
        <f>VLOOKUP($A67,'A Main Database'!$A:$R,16,0)</f>
        <v>#N/A</v>
      </c>
      <c r="Q67" t="e">
        <f>VLOOKUP($A67,'A Main Database'!$A:$R,17,0)</f>
        <v>#N/A</v>
      </c>
      <c r="R67" t="e">
        <f>VLOOKUP($A67,'A Main Database'!$A:$R,18,0)</f>
        <v>#N/A</v>
      </c>
      <c r="S67" t="e">
        <f>VLOOKUP($A67,'A Main Database'!$A:$R,19,0)</f>
        <v>#N/A</v>
      </c>
      <c r="U67" t="e">
        <f>VLOOKUP(B67,'A Main Database'!A:A,1,0)</f>
        <v>#N/A</v>
      </c>
      <c r="V67" t="e">
        <f>VLOOKUP(B67,'A Main Database'!I:I,1,0)</f>
        <v>#N/A</v>
      </c>
      <c r="W67" t="e">
        <f>VLOOKUP(B67,'A Main Database'!M:M,1,0)</f>
        <v>#N/A</v>
      </c>
      <c r="X67" t="e">
        <f>VLOOKUP(B67,'A Main Database'!P:P,1,0)</f>
        <v>#N/A</v>
      </c>
      <c r="Y67" t="s">
        <v>287</v>
      </c>
      <c r="Z67" t="s">
        <v>292</v>
      </c>
      <c r="AA67" t="str">
        <f t="shared" si="1"/>
        <v>https://www.gust.com/submit</v>
      </c>
    </row>
    <row r="68" spans="1:27" x14ac:dyDescent="0.25">
      <c r="A68" t="str">
        <f t="shared" si="0"/>
        <v>homedirect.xyz/submit</v>
      </c>
      <c r="B68" t="s">
        <v>146</v>
      </c>
      <c r="C68" s="4" t="e">
        <f>VLOOKUP($A68,'A Main Database'!$A:$R,3,0)</f>
        <v>#N/A</v>
      </c>
      <c r="D68" t="e">
        <f>VLOOKUP($A68,'A Main Database'!$A:$R,4,0)</f>
        <v>#N/A</v>
      </c>
      <c r="E68" t="e">
        <f>VLOOKUP($A68,'A Main Database'!$A:$R,5,0)</f>
        <v>#N/A</v>
      </c>
      <c r="F68" t="e">
        <f>VLOOKUP($A68,'A Main Database'!$A:$R,6,0)</f>
        <v>#N/A</v>
      </c>
      <c r="G68" t="e">
        <f>VLOOKUP($A68,'A Main Database'!$A:$R,7,0)</f>
        <v>#N/A</v>
      </c>
      <c r="H68" t="e">
        <f>VLOOKUP($A68,'A Main Database'!$A:$R,8,0)</f>
        <v>#N/A</v>
      </c>
      <c r="I68" t="e">
        <f>VLOOKUP($A68,'A Main Database'!$A:$R,9,0)</f>
        <v>#N/A</v>
      </c>
      <c r="J68" t="e">
        <f>VLOOKUP($A68,'A Main Database'!$A:$R,10,0)</f>
        <v>#N/A</v>
      </c>
      <c r="K68" t="e">
        <f>VLOOKUP($A68,'A Main Database'!$A:$R,11,0)</f>
        <v>#N/A</v>
      </c>
      <c r="L68" t="e">
        <f>VLOOKUP($A68,'A Main Database'!$A:$R,12,0)</f>
        <v>#N/A</v>
      </c>
      <c r="M68" t="e">
        <f>VLOOKUP($A68,'A Main Database'!$A:$R,13,0)</f>
        <v>#N/A</v>
      </c>
      <c r="N68" t="e">
        <f>VLOOKUP($A68,'A Main Database'!$A:$R,14,0)</f>
        <v>#N/A</v>
      </c>
      <c r="O68" t="e">
        <f>VLOOKUP($A68,'A Main Database'!$A:$R,15,0)</f>
        <v>#N/A</v>
      </c>
      <c r="P68" s="6" t="e">
        <f>VLOOKUP($A68,'A Main Database'!$A:$R,16,0)</f>
        <v>#N/A</v>
      </c>
      <c r="Q68" t="e">
        <f>VLOOKUP($A68,'A Main Database'!$A:$R,17,0)</f>
        <v>#N/A</v>
      </c>
      <c r="R68" t="e">
        <f>VLOOKUP($A68,'A Main Database'!$A:$R,18,0)</f>
        <v>#N/A</v>
      </c>
      <c r="S68" t="e">
        <f>VLOOKUP($A68,'A Main Database'!$A:$R,19,0)</f>
        <v>#N/A</v>
      </c>
      <c r="U68" t="e">
        <f>VLOOKUP(B68,'A Main Database'!A:A,1,0)</f>
        <v>#N/A</v>
      </c>
      <c r="V68" t="e">
        <f>VLOOKUP(B68,'A Main Database'!I:I,1,0)</f>
        <v>#N/A</v>
      </c>
      <c r="W68" t="e">
        <f>VLOOKUP(B68,'A Main Database'!M:M,1,0)</f>
        <v>#N/A</v>
      </c>
      <c r="X68" t="e">
        <f>VLOOKUP(B68,'A Main Database'!P:P,1,0)</f>
        <v>#N/A</v>
      </c>
      <c r="Y68" t="s">
        <v>287</v>
      </c>
      <c r="Z68" t="s">
        <v>292</v>
      </c>
      <c r="AA68" t="str">
        <f t="shared" si="1"/>
        <v>homedirect.xyz/submit</v>
      </c>
    </row>
    <row r="69" spans="1:27" x14ac:dyDescent="0.25">
      <c r="A69" t="str">
        <f t="shared" ref="A69:A77" si="2">AA69</f>
        <v>host.io/submit</v>
      </c>
      <c r="B69" t="s">
        <v>147</v>
      </c>
      <c r="C69" s="4" t="e">
        <f>VLOOKUP($A69,'A Main Database'!$A:$R,3,0)</f>
        <v>#N/A</v>
      </c>
      <c r="D69" t="e">
        <f>VLOOKUP($A69,'A Main Database'!$A:$R,4,0)</f>
        <v>#N/A</v>
      </c>
      <c r="E69" t="e">
        <f>VLOOKUP($A69,'A Main Database'!$A:$R,5,0)</f>
        <v>#N/A</v>
      </c>
      <c r="F69" t="e">
        <f>VLOOKUP($A69,'A Main Database'!$A:$R,6,0)</f>
        <v>#N/A</v>
      </c>
      <c r="G69" t="e">
        <f>VLOOKUP($A69,'A Main Database'!$A:$R,7,0)</f>
        <v>#N/A</v>
      </c>
      <c r="H69" t="e">
        <f>VLOOKUP($A69,'A Main Database'!$A:$R,8,0)</f>
        <v>#N/A</v>
      </c>
      <c r="I69" t="e">
        <f>VLOOKUP($A69,'A Main Database'!$A:$R,9,0)</f>
        <v>#N/A</v>
      </c>
      <c r="J69" t="e">
        <f>VLOOKUP($A69,'A Main Database'!$A:$R,10,0)</f>
        <v>#N/A</v>
      </c>
      <c r="K69" t="e">
        <f>VLOOKUP($A69,'A Main Database'!$A:$R,11,0)</f>
        <v>#N/A</v>
      </c>
      <c r="L69" t="e">
        <f>VLOOKUP($A69,'A Main Database'!$A:$R,12,0)</f>
        <v>#N/A</v>
      </c>
      <c r="M69" t="e">
        <f>VLOOKUP($A69,'A Main Database'!$A:$R,13,0)</f>
        <v>#N/A</v>
      </c>
      <c r="N69" t="e">
        <f>VLOOKUP($A69,'A Main Database'!$A:$R,14,0)</f>
        <v>#N/A</v>
      </c>
      <c r="O69" t="e">
        <f>VLOOKUP($A69,'A Main Database'!$A:$R,15,0)</f>
        <v>#N/A</v>
      </c>
      <c r="P69" s="6" t="e">
        <f>VLOOKUP($A69,'A Main Database'!$A:$R,16,0)</f>
        <v>#N/A</v>
      </c>
      <c r="Q69" t="e">
        <f>VLOOKUP($A69,'A Main Database'!$A:$R,17,0)</f>
        <v>#N/A</v>
      </c>
      <c r="R69" t="e">
        <f>VLOOKUP($A69,'A Main Database'!$A:$R,18,0)</f>
        <v>#N/A</v>
      </c>
      <c r="S69" t="e">
        <f>VLOOKUP($A69,'A Main Database'!$A:$R,19,0)</f>
        <v>#N/A</v>
      </c>
      <c r="U69" t="e">
        <f>VLOOKUP(B69,'A Main Database'!A:A,1,0)</f>
        <v>#N/A</v>
      </c>
      <c r="V69" t="e">
        <f>VLOOKUP(B69,'A Main Database'!I:I,1,0)</f>
        <v>#N/A</v>
      </c>
      <c r="W69" t="e">
        <f>VLOOKUP(B69,'A Main Database'!M:M,1,0)</f>
        <v>#N/A</v>
      </c>
      <c r="X69" t="e">
        <f>VLOOKUP(B69,'A Main Database'!P:P,1,0)</f>
        <v>#N/A</v>
      </c>
      <c r="Y69" t="s">
        <v>287</v>
      </c>
      <c r="Z69" t="s">
        <v>292</v>
      </c>
      <c r="AA69" t="str">
        <f t="shared" si="1"/>
        <v>host.io/submit</v>
      </c>
    </row>
    <row r="70" spans="1:27" x14ac:dyDescent="0.25">
      <c r="A70" t="str">
        <f t="shared" si="2"/>
        <v>incasa.site/submit</v>
      </c>
      <c r="B70" t="s">
        <v>148</v>
      </c>
      <c r="C70" s="4" t="e">
        <f>VLOOKUP($A70,'A Main Database'!$A:$R,3,0)</f>
        <v>#N/A</v>
      </c>
      <c r="D70" t="e">
        <f>VLOOKUP($A70,'A Main Database'!$A:$R,4,0)</f>
        <v>#N/A</v>
      </c>
      <c r="E70" t="e">
        <f>VLOOKUP($A70,'A Main Database'!$A:$R,5,0)</f>
        <v>#N/A</v>
      </c>
      <c r="F70" t="e">
        <f>VLOOKUP($A70,'A Main Database'!$A:$R,6,0)</f>
        <v>#N/A</v>
      </c>
      <c r="G70" t="e">
        <f>VLOOKUP($A70,'A Main Database'!$A:$R,7,0)</f>
        <v>#N/A</v>
      </c>
      <c r="H70" t="e">
        <f>VLOOKUP($A70,'A Main Database'!$A:$R,8,0)</f>
        <v>#N/A</v>
      </c>
      <c r="I70" t="e">
        <f>VLOOKUP($A70,'A Main Database'!$A:$R,9,0)</f>
        <v>#N/A</v>
      </c>
      <c r="J70" t="e">
        <f>VLOOKUP($A70,'A Main Database'!$A:$R,10,0)</f>
        <v>#N/A</v>
      </c>
      <c r="K70" t="e">
        <f>VLOOKUP($A70,'A Main Database'!$A:$R,11,0)</f>
        <v>#N/A</v>
      </c>
      <c r="L70" t="e">
        <f>VLOOKUP($A70,'A Main Database'!$A:$R,12,0)</f>
        <v>#N/A</v>
      </c>
      <c r="M70" t="e">
        <f>VLOOKUP($A70,'A Main Database'!$A:$R,13,0)</f>
        <v>#N/A</v>
      </c>
      <c r="N70" t="e">
        <f>VLOOKUP($A70,'A Main Database'!$A:$R,14,0)</f>
        <v>#N/A</v>
      </c>
      <c r="O70" t="e">
        <f>VLOOKUP($A70,'A Main Database'!$A:$R,15,0)</f>
        <v>#N/A</v>
      </c>
      <c r="P70" s="6" t="e">
        <f>VLOOKUP($A70,'A Main Database'!$A:$R,16,0)</f>
        <v>#N/A</v>
      </c>
      <c r="Q70" t="e">
        <f>VLOOKUP($A70,'A Main Database'!$A:$R,17,0)</f>
        <v>#N/A</v>
      </c>
      <c r="R70" t="e">
        <f>VLOOKUP($A70,'A Main Database'!$A:$R,18,0)</f>
        <v>#N/A</v>
      </c>
      <c r="S70" t="e">
        <f>VLOOKUP($A70,'A Main Database'!$A:$R,19,0)</f>
        <v>#N/A</v>
      </c>
      <c r="U70" t="e">
        <f>VLOOKUP(B70,'A Main Database'!A:A,1,0)</f>
        <v>#N/A</v>
      </c>
      <c r="V70" t="e">
        <f>VLOOKUP(B70,'A Main Database'!I:I,1,0)</f>
        <v>#N/A</v>
      </c>
      <c r="W70" t="e">
        <f>VLOOKUP(B70,'A Main Database'!M:M,1,0)</f>
        <v>#N/A</v>
      </c>
      <c r="X70" t="e">
        <f>VLOOKUP(B70,'A Main Database'!P:P,1,0)</f>
        <v>#N/A</v>
      </c>
      <c r="Y70" t="s">
        <v>287</v>
      </c>
      <c r="Z70" t="s">
        <v>292</v>
      </c>
      <c r="AA70" t="str">
        <f t="shared" ref="AA70:AA77" si="3">CONCATENATE(B70,Z70)</f>
        <v>incasa.site/submit</v>
      </c>
    </row>
    <row r="71" spans="1:27" x14ac:dyDescent="0.25">
      <c r="A71" t="str">
        <f t="shared" si="2"/>
        <v>janitorialserviceskatesa.blogspot.com/submit</v>
      </c>
      <c r="B71" t="s">
        <v>149</v>
      </c>
      <c r="C71" s="4" t="e">
        <f>VLOOKUP($A71,'A Main Database'!$A:$R,3,0)</f>
        <v>#N/A</v>
      </c>
      <c r="D71" t="e">
        <f>VLOOKUP($A71,'A Main Database'!$A:$R,4,0)</f>
        <v>#N/A</v>
      </c>
      <c r="E71" t="e">
        <f>VLOOKUP($A71,'A Main Database'!$A:$R,5,0)</f>
        <v>#N/A</v>
      </c>
      <c r="F71" t="e">
        <f>VLOOKUP($A71,'A Main Database'!$A:$R,6,0)</f>
        <v>#N/A</v>
      </c>
      <c r="G71" t="e">
        <f>VLOOKUP($A71,'A Main Database'!$A:$R,7,0)</f>
        <v>#N/A</v>
      </c>
      <c r="H71" t="e">
        <f>VLOOKUP($A71,'A Main Database'!$A:$R,8,0)</f>
        <v>#N/A</v>
      </c>
      <c r="I71" t="e">
        <f>VLOOKUP($A71,'A Main Database'!$A:$R,9,0)</f>
        <v>#N/A</v>
      </c>
      <c r="J71" t="e">
        <f>VLOOKUP($A71,'A Main Database'!$A:$R,10,0)</f>
        <v>#N/A</v>
      </c>
      <c r="K71" t="e">
        <f>VLOOKUP($A71,'A Main Database'!$A:$R,11,0)</f>
        <v>#N/A</v>
      </c>
      <c r="L71" t="e">
        <f>VLOOKUP($A71,'A Main Database'!$A:$R,12,0)</f>
        <v>#N/A</v>
      </c>
      <c r="M71" t="e">
        <f>VLOOKUP($A71,'A Main Database'!$A:$R,13,0)</f>
        <v>#N/A</v>
      </c>
      <c r="N71" t="e">
        <f>VLOOKUP($A71,'A Main Database'!$A:$R,14,0)</f>
        <v>#N/A</v>
      </c>
      <c r="O71" t="e">
        <f>VLOOKUP($A71,'A Main Database'!$A:$R,15,0)</f>
        <v>#N/A</v>
      </c>
      <c r="P71" s="6" t="e">
        <f>VLOOKUP($A71,'A Main Database'!$A:$R,16,0)</f>
        <v>#N/A</v>
      </c>
      <c r="Q71" t="e">
        <f>VLOOKUP($A71,'A Main Database'!$A:$R,17,0)</f>
        <v>#N/A</v>
      </c>
      <c r="R71" t="e">
        <f>VLOOKUP($A71,'A Main Database'!$A:$R,18,0)</f>
        <v>#N/A</v>
      </c>
      <c r="S71" t="e">
        <f>VLOOKUP($A71,'A Main Database'!$A:$R,19,0)</f>
        <v>#N/A</v>
      </c>
      <c r="U71" t="e">
        <f>VLOOKUP(B71,'A Main Database'!A:A,1,0)</f>
        <v>#N/A</v>
      </c>
      <c r="V71" t="e">
        <f>VLOOKUP(B71,'A Main Database'!I:I,1,0)</f>
        <v>#N/A</v>
      </c>
      <c r="W71" t="e">
        <f>VLOOKUP(B71,'A Main Database'!M:M,1,0)</f>
        <v>#N/A</v>
      </c>
      <c r="X71" t="e">
        <f>VLOOKUP(B71,'A Main Database'!P:P,1,0)</f>
        <v>#N/A</v>
      </c>
      <c r="Y71" t="s">
        <v>287</v>
      </c>
      <c r="Z71" t="s">
        <v>292</v>
      </c>
      <c r="AA71" t="str">
        <f t="shared" si="3"/>
        <v>janitorialserviceskatesa.blogspot.com/submit</v>
      </c>
    </row>
    <row r="72" spans="1:27" x14ac:dyDescent="0.25">
      <c r="A72" t="str">
        <f t="shared" si="2"/>
        <v>jraces.com/submit</v>
      </c>
      <c r="B72" t="s">
        <v>150</v>
      </c>
      <c r="C72" s="4" t="e">
        <f>VLOOKUP($A72,'A Main Database'!$A:$R,3,0)</f>
        <v>#N/A</v>
      </c>
      <c r="D72" t="e">
        <f>VLOOKUP($A72,'A Main Database'!$A:$R,4,0)</f>
        <v>#N/A</v>
      </c>
      <c r="E72" t="e">
        <f>VLOOKUP($A72,'A Main Database'!$A:$R,5,0)</f>
        <v>#N/A</v>
      </c>
      <c r="F72" t="e">
        <f>VLOOKUP($A72,'A Main Database'!$A:$R,6,0)</f>
        <v>#N/A</v>
      </c>
      <c r="G72" t="e">
        <f>VLOOKUP($A72,'A Main Database'!$A:$R,7,0)</f>
        <v>#N/A</v>
      </c>
      <c r="H72" t="e">
        <f>VLOOKUP($A72,'A Main Database'!$A:$R,8,0)</f>
        <v>#N/A</v>
      </c>
      <c r="I72" t="e">
        <f>VLOOKUP($A72,'A Main Database'!$A:$R,9,0)</f>
        <v>#N/A</v>
      </c>
      <c r="J72" t="e">
        <f>VLOOKUP($A72,'A Main Database'!$A:$R,10,0)</f>
        <v>#N/A</v>
      </c>
      <c r="K72" t="e">
        <f>VLOOKUP($A72,'A Main Database'!$A:$R,11,0)</f>
        <v>#N/A</v>
      </c>
      <c r="L72" t="e">
        <f>VLOOKUP($A72,'A Main Database'!$A:$R,12,0)</f>
        <v>#N/A</v>
      </c>
      <c r="M72" t="e">
        <f>VLOOKUP($A72,'A Main Database'!$A:$R,13,0)</f>
        <v>#N/A</v>
      </c>
      <c r="N72" t="e">
        <f>VLOOKUP($A72,'A Main Database'!$A:$R,14,0)</f>
        <v>#N/A</v>
      </c>
      <c r="O72" t="e">
        <f>VLOOKUP($A72,'A Main Database'!$A:$R,15,0)</f>
        <v>#N/A</v>
      </c>
      <c r="P72" s="6" t="e">
        <f>VLOOKUP($A72,'A Main Database'!$A:$R,16,0)</f>
        <v>#N/A</v>
      </c>
      <c r="Q72" t="e">
        <f>VLOOKUP($A72,'A Main Database'!$A:$R,17,0)</f>
        <v>#N/A</v>
      </c>
      <c r="R72" t="e">
        <f>VLOOKUP($A72,'A Main Database'!$A:$R,18,0)</f>
        <v>#N/A</v>
      </c>
      <c r="S72" t="e">
        <f>VLOOKUP($A72,'A Main Database'!$A:$R,19,0)</f>
        <v>#N/A</v>
      </c>
      <c r="U72" t="e">
        <f>VLOOKUP(B72,'A Main Database'!A:A,1,0)</f>
        <v>#N/A</v>
      </c>
      <c r="V72" t="e">
        <f>VLOOKUP(B72,'A Main Database'!I:I,1,0)</f>
        <v>#N/A</v>
      </c>
      <c r="W72" t="e">
        <f>VLOOKUP(B72,'A Main Database'!M:M,1,0)</f>
        <v>#N/A</v>
      </c>
      <c r="X72" t="e">
        <f>VLOOKUP(B72,'A Main Database'!P:P,1,0)</f>
        <v>#N/A</v>
      </c>
      <c r="Y72" t="s">
        <v>287</v>
      </c>
      <c r="Z72" t="s">
        <v>292</v>
      </c>
      <c r="AA72" t="str">
        <f t="shared" si="3"/>
        <v>jraces.com/submit</v>
      </c>
    </row>
    <row r="73" spans="1:27" x14ac:dyDescent="0.25">
      <c r="A73" t="str">
        <f t="shared" si="2"/>
        <v>localyaar.com/submit</v>
      </c>
      <c r="B73" t="s">
        <v>151</v>
      </c>
      <c r="C73" s="4" t="e">
        <f>VLOOKUP($A73,'A Main Database'!$A:$R,3,0)</f>
        <v>#N/A</v>
      </c>
      <c r="D73" t="e">
        <f>VLOOKUP($A73,'A Main Database'!$A:$R,4,0)</f>
        <v>#N/A</v>
      </c>
      <c r="E73" t="e">
        <f>VLOOKUP($A73,'A Main Database'!$A:$R,5,0)</f>
        <v>#N/A</v>
      </c>
      <c r="F73" t="e">
        <f>VLOOKUP($A73,'A Main Database'!$A:$R,6,0)</f>
        <v>#N/A</v>
      </c>
      <c r="G73" t="e">
        <f>VLOOKUP($A73,'A Main Database'!$A:$R,7,0)</f>
        <v>#N/A</v>
      </c>
      <c r="H73" t="e">
        <f>VLOOKUP($A73,'A Main Database'!$A:$R,8,0)</f>
        <v>#N/A</v>
      </c>
      <c r="I73" t="e">
        <f>VLOOKUP($A73,'A Main Database'!$A:$R,9,0)</f>
        <v>#N/A</v>
      </c>
      <c r="J73" t="e">
        <f>VLOOKUP($A73,'A Main Database'!$A:$R,10,0)</f>
        <v>#N/A</v>
      </c>
      <c r="K73" t="e">
        <f>VLOOKUP($A73,'A Main Database'!$A:$R,11,0)</f>
        <v>#N/A</v>
      </c>
      <c r="L73" t="e">
        <f>VLOOKUP($A73,'A Main Database'!$A:$R,12,0)</f>
        <v>#N/A</v>
      </c>
      <c r="M73" t="e">
        <f>VLOOKUP($A73,'A Main Database'!$A:$R,13,0)</f>
        <v>#N/A</v>
      </c>
      <c r="N73" t="e">
        <f>VLOOKUP($A73,'A Main Database'!$A:$R,14,0)</f>
        <v>#N/A</v>
      </c>
      <c r="O73" t="e">
        <f>VLOOKUP($A73,'A Main Database'!$A:$R,15,0)</f>
        <v>#N/A</v>
      </c>
      <c r="P73" s="6" t="e">
        <f>VLOOKUP($A73,'A Main Database'!$A:$R,16,0)</f>
        <v>#N/A</v>
      </c>
      <c r="Q73" t="e">
        <f>VLOOKUP($A73,'A Main Database'!$A:$R,17,0)</f>
        <v>#N/A</v>
      </c>
      <c r="R73" t="e">
        <f>VLOOKUP($A73,'A Main Database'!$A:$R,18,0)</f>
        <v>#N/A</v>
      </c>
      <c r="S73" t="e">
        <f>VLOOKUP($A73,'A Main Database'!$A:$R,19,0)</f>
        <v>#N/A</v>
      </c>
      <c r="U73" t="e">
        <f>VLOOKUP(B73,'A Main Database'!A:A,1,0)</f>
        <v>#N/A</v>
      </c>
      <c r="V73" t="e">
        <f>VLOOKUP(B73,'A Main Database'!I:I,1,0)</f>
        <v>#N/A</v>
      </c>
      <c r="W73" t="e">
        <f>VLOOKUP(B73,'A Main Database'!M:M,1,0)</f>
        <v>#N/A</v>
      </c>
      <c r="X73" t="e">
        <f>VLOOKUP(B73,'A Main Database'!P:P,1,0)</f>
        <v>#N/A</v>
      </c>
      <c r="Y73" t="s">
        <v>287</v>
      </c>
      <c r="Z73" t="s">
        <v>292</v>
      </c>
      <c r="AA73" t="str">
        <f t="shared" si="3"/>
        <v>localyaar.com/submit</v>
      </c>
    </row>
    <row r="74" spans="1:27" x14ac:dyDescent="0.25">
      <c r="A74" t="str">
        <f t="shared" si="2"/>
        <v>mappca.com/submit</v>
      </c>
      <c r="B74" t="s">
        <v>152</v>
      </c>
      <c r="C74" s="4" t="e">
        <f>VLOOKUP($A74,'A Main Database'!$A:$R,3,0)</f>
        <v>#N/A</v>
      </c>
      <c r="D74" t="e">
        <f>VLOOKUP($A74,'A Main Database'!$A:$R,4,0)</f>
        <v>#N/A</v>
      </c>
      <c r="E74" t="e">
        <f>VLOOKUP($A74,'A Main Database'!$A:$R,5,0)</f>
        <v>#N/A</v>
      </c>
      <c r="F74" t="e">
        <f>VLOOKUP($A74,'A Main Database'!$A:$R,6,0)</f>
        <v>#N/A</v>
      </c>
      <c r="G74" t="e">
        <f>VLOOKUP($A74,'A Main Database'!$A:$R,7,0)</f>
        <v>#N/A</v>
      </c>
      <c r="H74" t="e">
        <f>VLOOKUP($A74,'A Main Database'!$A:$R,8,0)</f>
        <v>#N/A</v>
      </c>
      <c r="I74" t="e">
        <f>VLOOKUP($A74,'A Main Database'!$A:$R,9,0)</f>
        <v>#N/A</v>
      </c>
      <c r="J74" t="e">
        <f>VLOOKUP($A74,'A Main Database'!$A:$R,10,0)</f>
        <v>#N/A</v>
      </c>
      <c r="K74" t="e">
        <f>VLOOKUP($A74,'A Main Database'!$A:$R,11,0)</f>
        <v>#N/A</v>
      </c>
      <c r="L74" t="e">
        <f>VLOOKUP($A74,'A Main Database'!$A:$R,12,0)</f>
        <v>#N/A</v>
      </c>
      <c r="M74" t="e">
        <f>VLOOKUP($A74,'A Main Database'!$A:$R,13,0)</f>
        <v>#N/A</v>
      </c>
      <c r="N74" t="e">
        <f>VLOOKUP($A74,'A Main Database'!$A:$R,14,0)</f>
        <v>#N/A</v>
      </c>
      <c r="O74" t="e">
        <f>VLOOKUP($A74,'A Main Database'!$A:$R,15,0)</f>
        <v>#N/A</v>
      </c>
      <c r="P74" s="6" t="e">
        <f>VLOOKUP($A74,'A Main Database'!$A:$R,16,0)</f>
        <v>#N/A</v>
      </c>
      <c r="Q74" t="e">
        <f>VLOOKUP($A74,'A Main Database'!$A:$R,17,0)</f>
        <v>#N/A</v>
      </c>
      <c r="R74" t="e">
        <f>VLOOKUP($A74,'A Main Database'!$A:$R,18,0)</f>
        <v>#N/A</v>
      </c>
      <c r="S74" t="e">
        <f>VLOOKUP($A74,'A Main Database'!$A:$R,19,0)</f>
        <v>#N/A</v>
      </c>
      <c r="U74" t="e">
        <f>VLOOKUP(B74,'A Main Database'!A:A,1,0)</f>
        <v>#N/A</v>
      </c>
      <c r="V74" t="e">
        <f>VLOOKUP(B74,'A Main Database'!I:I,1,0)</f>
        <v>#N/A</v>
      </c>
      <c r="W74" t="e">
        <f>VLOOKUP(B74,'A Main Database'!M:M,1,0)</f>
        <v>#N/A</v>
      </c>
      <c r="X74" t="e">
        <f>VLOOKUP(B74,'A Main Database'!P:P,1,0)</f>
        <v>#N/A</v>
      </c>
      <c r="Y74" t="s">
        <v>287</v>
      </c>
      <c r="Z74" t="s">
        <v>292</v>
      </c>
      <c r="AA74" t="str">
        <f t="shared" si="3"/>
        <v>mappca.com/submit</v>
      </c>
    </row>
    <row r="75" spans="1:27" x14ac:dyDescent="0.25">
      <c r="A75" t="str">
        <f t="shared" si="2"/>
        <v>pr.co/submit</v>
      </c>
      <c r="B75" t="s">
        <v>153</v>
      </c>
      <c r="C75" s="4" t="e">
        <f>VLOOKUP($A75,'A Main Database'!$A:$R,3,0)</f>
        <v>#N/A</v>
      </c>
      <c r="D75" t="e">
        <f>VLOOKUP($A75,'A Main Database'!$A:$R,4,0)</f>
        <v>#N/A</v>
      </c>
      <c r="E75" t="e">
        <f>VLOOKUP($A75,'A Main Database'!$A:$R,5,0)</f>
        <v>#N/A</v>
      </c>
      <c r="F75" t="e">
        <f>VLOOKUP($A75,'A Main Database'!$A:$R,6,0)</f>
        <v>#N/A</v>
      </c>
      <c r="G75" t="e">
        <f>VLOOKUP($A75,'A Main Database'!$A:$R,7,0)</f>
        <v>#N/A</v>
      </c>
      <c r="H75" t="e">
        <f>VLOOKUP($A75,'A Main Database'!$A:$R,8,0)</f>
        <v>#N/A</v>
      </c>
      <c r="I75" t="e">
        <f>VLOOKUP($A75,'A Main Database'!$A:$R,9,0)</f>
        <v>#N/A</v>
      </c>
      <c r="J75" t="e">
        <f>VLOOKUP($A75,'A Main Database'!$A:$R,10,0)</f>
        <v>#N/A</v>
      </c>
      <c r="K75" t="e">
        <f>VLOOKUP($A75,'A Main Database'!$A:$R,11,0)</f>
        <v>#N/A</v>
      </c>
      <c r="L75" t="e">
        <f>VLOOKUP($A75,'A Main Database'!$A:$R,12,0)</f>
        <v>#N/A</v>
      </c>
      <c r="M75" t="e">
        <f>VLOOKUP($A75,'A Main Database'!$A:$R,13,0)</f>
        <v>#N/A</v>
      </c>
      <c r="N75" t="e">
        <f>VLOOKUP($A75,'A Main Database'!$A:$R,14,0)</f>
        <v>#N/A</v>
      </c>
      <c r="O75" t="e">
        <f>VLOOKUP($A75,'A Main Database'!$A:$R,15,0)</f>
        <v>#N/A</v>
      </c>
      <c r="P75" s="6" t="e">
        <f>VLOOKUP($A75,'A Main Database'!$A:$R,16,0)</f>
        <v>#N/A</v>
      </c>
      <c r="Q75" t="e">
        <f>VLOOKUP($A75,'A Main Database'!$A:$R,17,0)</f>
        <v>#N/A</v>
      </c>
      <c r="R75" t="e">
        <f>VLOOKUP($A75,'A Main Database'!$A:$R,18,0)</f>
        <v>#N/A</v>
      </c>
      <c r="S75" t="e">
        <f>VLOOKUP($A75,'A Main Database'!$A:$R,19,0)</f>
        <v>#N/A</v>
      </c>
      <c r="U75" t="e">
        <f>VLOOKUP(B75,'A Main Database'!A:A,1,0)</f>
        <v>#N/A</v>
      </c>
      <c r="V75" t="e">
        <f>VLOOKUP(B75,'A Main Database'!I:I,1,0)</f>
        <v>#N/A</v>
      </c>
      <c r="W75" t="e">
        <f>VLOOKUP(B75,'A Main Database'!M:M,1,0)</f>
        <v>#N/A</v>
      </c>
      <c r="X75" t="e">
        <f>VLOOKUP(B75,'A Main Database'!P:P,1,0)</f>
        <v>#N/A</v>
      </c>
      <c r="Y75" t="s">
        <v>287</v>
      </c>
      <c r="Z75" t="s">
        <v>292</v>
      </c>
      <c r="AA75" t="str">
        <f t="shared" si="3"/>
        <v>pr.co/submit</v>
      </c>
    </row>
    <row r="76" spans="1:27" x14ac:dyDescent="0.25">
      <c r="A76" t="str">
        <f t="shared" si="2"/>
        <v>membee.com/submit</v>
      </c>
      <c r="B76" t="s">
        <v>154</v>
      </c>
      <c r="C76" s="4" t="e">
        <f>VLOOKUP($A76,'A Main Database'!$A:$R,3,0)</f>
        <v>#N/A</v>
      </c>
      <c r="D76" t="e">
        <f>VLOOKUP($A76,'A Main Database'!$A:$R,4,0)</f>
        <v>#N/A</v>
      </c>
      <c r="E76" t="e">
        <f>VLOOKUP($A76,'A Main Database'!$A:$R,5,0)</f>
        <v>#N/A</v>
      </c>
      <c r="F76" t="e">
        <f>VLOOKUP($A76,'A Main Database'!$A:$R,6,0)</f>
        <v>#N/A</v>
      </c>
      <c r="G76" t="e">
        <f>VLOOKUP($A76,'A Main Database'!$A:$R,7,0)</f>
        <v>#N/A</v>
      </c>
      <c r="H76" t="e">
        <f>VLOOKUP($A76,'A Main Database'!$A:$R,8,0)</f>
        <v>#N/A</v>
      </c>
      <c r="I76" t="e">
        <f>VLOOKUP($A76,'A Main Database'!$A:$R,9,0)</f>
        <v>#N/A</v>
      </c>
      <c r="J76" t="e">
        <f>VLOOKUP($A76,'A Main Database'!$A:$R,10,0)</f>
        <v>#N/A</v>
      </c>
      <c r="K76" t="e">
        <f>VLOOKUP($A76,'A Main Database'!$A:$R,11,0)</f>
        <v>#N/A</v>
      </c>
      <c r="L76" t="e">
        <f>VLOOKUP($A76,'A Main Database'!$A:$R,12,0)</f>
        <v>#N/A</v>
      </c>
      <c r="M76" t="e">
        <f>VLOOKUP($A76,'A Main Database'!$A:$R,13,0)</f>
        <v>#N/A</v>
      </c>
      <c r="N76" t="e">
        <f>VLOOKUP($A76,'A Main Database'!$A:$R,14,0)</f>
        <v>#N/A</v>
      </c>
      <c r="O76" t="e">
        <f>VLOOKUP($A76,'A Main Database'!$A:$R,15,0)</f>
        <v>#N/A</v>
      </c>
      <c r="P76" s="6" t="e">
        <f>VLOOKUP($A76,'A Main Database'!$A:$R,16,0)</f>
        <v>#N/A</v>
      </c>
      <c r="Q76" t="e">
        <f>VLOOKUP($A76,'A Main Database'!$A:$R,17,0)</f>
        <v>#N/A</v>
      </c>
      <c r="R76" t="e">
        <f>VLOOKUP($A76,'A Main Database'!$A:$R,18,0)</f>
        <v>#N/A</v>
      </c>
      <c r="S76" t="e">
        <f>VLOOKUP($A76,'A Main Database'!$A:$R,19,0)</f>
        <v>#N/A</v>
      </c>
      <c r="U76" t="e">
        <f>VLOOKUP(B76,'A Main Database'!A:A,1,0)</f>
        <v>#N/A</v>
      </c>
      <c r="V76" t="e">
        <f>VLOOKUP(B76,'A Main Database'!I:I,1,0)</f>
        <v>#N/A</v>
      </c>
      <c r="W76" t="e">
        <f>VLOOKUP(B76,'A Main Database'!M:M,1,0)</f>
        <v>#N/A</v>
      </c>
      <c r="X76" t="e">
        <f>VLOOKUP(B76,'A Main Database'!P:P,1,0)</f>
        <v>#N/A</v>
      </c>
      <c r="Y76" t="s">
        <v>287</v>
      </c>
      <c r="Z76" t="s">
        <v>292</v>
      </c>
      <c r="AA76" t="str">
        <f t="shared" si="3"/>
        <v>membee.com/submit</v>
      </c>
    </row>
    <row r="77" spans="1:27" x14ac:dyDescent="0.25">
      <c r="A77" t="str">
        <f t="shared" si="2"/>
        <v>constantcontact.com/submit</v>
      </c>
      <c r="B77" t="s">
        <v>155</v>
      </c>
      <c r="C77" s="4" t="e">
        <f>VLOOKUP($A77,'A Main Database'!$A:$R,3,0)</f>
        <v>#N/A</v>
      </c>
      <c r="D77" t="e">
        <f>VLOOKUP($A77,'A Main Database'!$A:$R,4,0)</f>
        <v>#N/A</v>
      </c>
      <c r="E77" t="e">
        <f>VLOOKUP($A77,'A Main Database'!$A:$R,5,0)</f>
        <v>#N/A</v>
      </c>
      <c r="F77" t="e">
        <f>VLOOKUP($A77,'A Main Database'!$A:$R,6,0)</f>
        <v>#N/A</v>
      </c>
      <c r="G77" t="e">
        <f>VLOOKUP($A77,'A Main Database'!$A:$R,7,0)</f>
        <v>#N/A</v>
      </c>
      <c r="H77" t="e">
        <f>VLOOKUP($A77,'A Main Database'!$A:$R,8,0)</f>
        <v>#N/A</v>
      </c>
      <c r="I77" t="e">
        <f>VLOOKUP($A77,'A Main Database'!$A:$R,9,0)</f>
        <v>#N/A</v>
      </c>
      <c r="J77" t="e">
        <f>VLOOKUP($A77,'A Main Database'!$A:$R,10,0)</f>
        <v>#N/A</v>
      </c>
      <c r="K77" t="e">
        <f>VLOOKUP($A77,'A Main Database'!$A:$R,11,0)</f>
        <v>#N/A</v>
      </c>
      <c r="L77" t="e">
        <f>VLOOKUP($A77,'A Main Database'!$A:$R,12,0)</f>
        <v>#N/A</v>
      </c>
      <c r="M77" t="e">
        <f>VLOOKUP($A77,'A Main Database'!$A:$R,13,0)</f>
        <v>#N/A</v>
      </c>
      <c r="N77" t="e">
        <f>VLOOKUP($A77,'A Main Database'!$A:$R,14,0)</f>
        <v>#N/A</v>
      </c>
      <c r="O77" t="e">
        <f>VLOOKUP($A77,'A Main Database'!$A:$R,15,0)</f>
        <v>#N/A</v>
      </c>
      <c r="P77" s="6" t="e">
        <f>VLOOKUP($A77,'A Main Database'!$A:$R,16,0)</f>
        <v>#N/A</v>
      </c>
      <c r="Q77" t="e">
        <f>VLOOKUP($A77,'A Main Database'!$A:$R,17,0)</f>
        <v>#N/A</v>
      </c>
      <c r="R77" t="e">
        <f>VLOOKUP($A77,'A Main Database'!$A:$R,18,0)</f>
        <v>#N/A</v>
      </c>
      <c r="S77" t="e">
        <f>VLOOKUP($A77,'A Main Database'!$A:$R,19,0)</f>
        <v>#N/A</v>
      </c>
      <c r="U77" t="e">
        <f>VLOOKUP(B77,'A Main Database'!A:A,1,0)</f>
        <v>#N/A</v>
      </c>
      <c r="V77" t="e">
        <f>VLOOKUP(B77,'A Main Database'!I:I,1,0)</f>
        <v>#N/A</v>
      </c>
      <c r="W77" t="e">
        <f>VLOOKUP(B77,'A Main Database'!M:M,1,0)</f>
        <v>#N/A</v>
      </c>
      <c r="X77" t="e">
        <f>VLOOKUP(B77,'A Main Database'!P:P,1,0)</f>
        <v>#N/A</v>
      </c>
      <c r="Y77" t="s">
        <v>287</v>
      </c>
      <c r="Z77" t="s">
        <v>292</v>
      </c>
      <c r="AA77" t="str">
        <f t="shared" si="3"/>
        <v>constantcontact.com/submit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A77"/>
  <sheetViews>
    <sheetView workbookViewId="0">
      <pane xSplit="2" ySplit="4" topLeftCell="C5" activePane="bottomRight" state="frozen"/>
      <selection pane="topRight" activeCell="B1" sqref="B1"/>
      <selection pane="bottomLeft" activeCell="A5" sqref="A5"/>
      <selection pane="bottomRight" activeCell="A22" sqref="A22"/>
    </sheetView>
  </sheetViews>
  <sheetFormatPr defaultRowHeight="15" x14ac:dyDescent="0.25"/>
  <cols>
    <col min="1" max="1" width="64.42578125" bestFit="1" customWidth="1"/>
    <col min="2" max="2" width="57.140625" bestFit="1" customWidth="1"/>
    <col min="3" max="3" width="16.5703125" bestFit="1" customWidth="1"/>
    <col min="4" max="5" width="7.85546875" customWidth="1"/>
    <col min="6" max="6" width="7" customWidth="1"/>
    <col min="7" max="7" width="13.85546875" bestFit="1" customWidth="1"/>
    <col min="8" max="8" width="13.7109375" bestFit="1" customWidth="1"/>
    <col min="9" max="9" width="13.42578125" bestFit="1" customWidth="1"/>
    <col min="10" max="10" width="10" bestFit="1" customWidth="1"/>
    <col min="11" max="11" width="12.140625" bestFit="1" customWidth="1"/>
    <col min="12" max="12" width="15.42578125" bestFit="1" customWidth="1"/>
    <col min="13" max="13" width="13.28515625" bestFit="1" customWidth="1"/>
    <col min="14" max="14" width="64.42578125" bestFit="1" customWidth="1"/>
    <col min="15" max="15" width="6" bestFit="1" customWidth="1"/>
    <col min="16" max="16" width="14.42578125" bestFit="1" customWidth="1"/>
    <col min="17" max="17" width="63.7109375" bestFit="1" customWidth="1"/>
    <col min="18" max="18" width="23.42578125" bestFit="1" customWidth="1"/>
    <col min="19" max="19" width="46.85546875" bestFit="1" customWidth="1"/>
    <col min="21" max="21" width="35.5703125" bestFit="1" customWidth="1"/>
    <col min="22" max="22" width="12.42578125" bestFit="1" customWidth="1"/>
    <col min="23" max="23" width="15.85546875" bestFit="1" customWidth="1"/>
    <col min="24" max="24" width="12.42578125" bestFit="1" customWidth="1"/>
    <col min="25" max="25" width="9.42578125" bestFit="1" customWidth="1"/>
    <col min="26" max="26" width="8" bestFit="1" customWidth="1"/>
    <col min="27" max="27" width="64.42578125" bestFit="1" customWidth="1"/>
  </cols>
  <sheetData>
    <row r="1" spans="1:27" x14ac:dyDescent="0.25">
      <c r="A1" t="s">
        <v>293</v>
      </c>
    </row>
    <row r="2" spans="1:27" x14ac:dyDescent="0.25">
      <c r="U2" t="s">
        <v>288</v>
      </c>
      <c r="V2" t="s">
        <v>289</v>
      </c>
      <c r="W2" t="s">
        <v>289</v>
      </c>
      <c r="X2" t="s">
        <v>289</v>
      </c>
    </row>
    <row r="3" spans="1:27" x14ac:dyDescent="0.25">
      <c r="B3" t="s">
        <v>282</v>
      </c>
      <c r="U3" t="s">
        <v>291</v>
      </c>
      <c r="V3" t="s">
        <v>290</v>
      </c>
      <c r="W3" t="s">
        <v>290</v>
      </c>
      <c r="X3" t="s">
        <v>290</v>
      </c>
    </row>
    <row r="4" spans="1:27" x14ac:dyDescent="0.25">
      <c r="A4" t="str">
        <f>AA4</f>
        <v>Domain URL</v>
      </c>
      <c r="B4" s="2" t="s">
        <v>3</v>
      </c>
      <c r="C4" s="1" t="s">
        <v>4</v>
      </c>
      <c r="D4" s="1" t="s">
        <v>5</v>
      </c>
      <c r="E4" s="1" t="s">
        <v>6</v>
      </c>
      <c r="F4" s="1" t="s">
        <v>2</v>
      </c>
      <c r="G4" s="1" t="s">
        <v>7</v>
      </c>
      <c r="H4" s="1" t="s">
        <v>8</v>
      </c>
      <c r="I4" s="1" t="s">
        <v>9</v>
      </c>
      <c r="J4" s="9" t="s">
        <v>284</v>
      </c>
      <c r="K4" s="1" t="s">
        <v>10</v>
      </c>
      <c r="L4" s="1" t="s">
        <v>11</v>
      </c>
      <c r="M4" s="1" t="s">
        <v>12</v>
      </c>
      <c r="N4" s="2" t="s">
        <v>13</v>
      </c>
      <c r="O4" s="2" t="s">
        <v>14</v>
      </c>
      <c r="P4" s="3" t="s">
        <v>15</v>
      </c>
      <c r="Q4" s="1" t="s">
        <v>16</v>
      </c>
      <c r="R4" s="1" t="s">
        <v>17</v>
      </c>
      <c r="S4" s="1" t="s">
        <v>280</v>
      </c>
      <c r="U4" s="2" t="s">
        <v>3</v>
      </c>
      <c r="V4" s="9" t="s">
        <v>284</v>
      </c>
      <c r="W4" s="2" t="s">
        <v>13</v>
      </c>
      <c r="X4" s="1" t="s">
        <v>16</v>
      </c>
      <c r="Y4" s="1" t="s">
        <v>286</v>
      </c>
      <c r="Z4" s="2" t="s">
        <v>292</v>
      </c>
      <c r="AA4" s="2" t="s">
        <v>3</v>
      </c>
    </row>
    <row r="5" spans="1:27" x14ac:dyDescent="0.25">
      <c r="A5" t="str">
        <f t="shared" ref="A5:A68" si="0">AA5</f>
        <v>http://411.ca/submit</v>
      </c>
      <c r="B5" t="s">
        <v>108</v>
      </c>
      <c r="C5" s="4" t="e">
        <f>VLOOKUP($A5,'A Main Database'!$A:$R,3,0)</f>
        <v>#N/A</v>
      </c>
      <c r="D5" t="e">
        <f>VLOOKUP($A5,'A Main Database'!$A:$R,4,0)</f>
        <v>#N/A</v>
      </c>
      <c r="E5" t="e">
        <f>VLOOKUP($A5,'A Main Database'!$A:$R,5,0)</f>
        <v>#N/A</v>
      </c>
      <c r="F5" t="e">
        <f>VLOOKUP($A5,'A Main Database'!$A:$R,6,0)</f>
        <v>#N/A</v>
      </c>
      <c r="G5" t="e">
        <f>VLOOKUP($A5,'A Main Database'!$A:$R,7,0)</f>
        <v>#N/A</v>
      </c>
      <c r="H5" t="e">
        <f>VLOOKUP($A5,'A Main Database'!$A:$R,8,0)</f>
        <v>#N/A</v>
      </c>
      <c r="I5" t="e">
        <f>VLOOKUP($A5,'A Main Database'!$A:$R,9,0)</f>
        <v>#N/A</v>
      </c>
      <c r="J5" t="e">
        <f>VLOOKUP($A5,'A Main Database'!$A:$R,10,0)</f>
        <v>#N/A</v>
      </c>
      <c r="K5" t="e">
        <f>VLOOKUP($A5,'A Main Database'!$A:$R,11,0)</f>
        <v>#N/A</v>
      </c>
      <c r="L5" t="e">
        <f>VLOOKUP($A5,'A Main Database'!$A:$R,12,0)</f>
        <v>#N/A</v>
      </c>
      <c r="M5" t="e">
        <f>VLOOKUP($A5,'A Main Database'!$A:$R,13,0)</f>
        <v>#N/A</v>
      </c>
      <c r="N5" t="e">
        <f>VLOOKUP($A5,'A Main Database'!$A:$R,14,0)</f>
        <v>#N/A</v>
      </c>
      <c r="O5" t="e">
        <f>VLOOKUP($A5,'A Main Database'!$A:$R,15,0)</f>
        <v>#N/A</v>
      </c>
      <c r="P5" s="6" t="e">
        <f>VLOOKUP($A5,'A Main Database'!$A:$R,16,0)</f>
        <v>#N/A</v>
      </c>
      <c r="Q5" t="e">
        <f>VLOOKUP($A5,'A Main Database'!$A:$R,17,0)</f>
        <v>#N/A</v>
      </c>
      <c r="R5" t="e">
        <f>VLOOKUP($A5,'A Main Database'!$A:$R,18,0)</f>
        <v>#N/A</v>
      </c>
      <c r="S5" t="e">
        <f>VLOOKUP($A5,'A Main Database'!$A:$R,19,0)</f>
        <v>#N/A</v>
      </c>
      <c r="U5" t="e">
        <f>VLOOKUP(B5,'A Main Database'!A:A,1,0)</f>
        <v>#N/A</v>
      </c>
      <c r="V5" t="e">
        <f>VLOOKUP(B5,'A Main Database'!I:I,1,0)</f>
        <v>#N/A</v>
      </c>
      <c r="W5" t="e">
        <f>VLOOKUP(B5,'A Main Database'!M:M,1,0)</f>
        <v>#N/A</v>
      </c>
      <c r="X5" t="e">
        <f>VLOOKUP(B5,'A Main Database'!P:P,1,0)</f>
        <v>#N/A</v>
      </c>
      <c r="Y5" t="s">
        <v>287</v>
      </c>
      <c r="Z5" t="s">
        <v>292</v>
      </c>
      <c r="AA5" t="str">
        <f>CONCATENATE(B5,Z5)</f>
        <v>http://411.ca/submit</v>
      </c>
    </row>
    <row r="6" spans="1:27" x14ac:dyDescent="0.25">
      <c r="A6" t="str">
        <f t="shared" si="0"/>
        <v>https://businessweek.directorym.com/submit</v>
      </c>
      <c r="B6" t="s">
        <v>109</v>
      </c>
      <c r="C6" s="4" t="e">
        <f>VLOOKUP($A6,'A Main Database'!$A:$R,3,0)</f>
        <v>#N/A</v>
      </c>
      <c r="D6" t="e">
        <f>VLOOKUP($A6,'A Main Database'!$A:$R,4,0)</f>
        <v>#N/A</v>
      </c>
      <c r="E6" t="e">
        <f>VLOOKUP($A6,'A Main Database'!$A:$R,5,0)</f>
        <v>#N/A</v>
      </c>
      <c r="F6" t="e">
        <f>VLOOKUP($A6,'A Main Database'!$A:$R,6,0)</f>
        <v>#N/A</v>
      </c>
      <c r="G6" t="e">
        <f>VLOOKUP($A6,'A Main Database'!$A:$R,7,0)</f>
        <v>#N/A</v>
      </c>
      <c r="H6" t="e">
        <f>VLOOKUP($A6,'A Main Database'!$A:$R,8,0)</f>
        <v>#N/A</v>
      </c>
      <c r="I6" t="e">
        <f>VLOOKUP($A6,'A Main Database'!$A:$R,9,0)</f>
        <v>#N/A</v>
      </c>
      <c r="J6" t="e">
        <f>VLOOKUP($A6,'A Main Database'!$A:$R,10,0)</f>
        <v>#N/A</v>
      </c>
      <c r="K6" t="e">
        <f>VLOOKUP($A6,'A Main Database'!$A:$R,11,0)</f>
        <v>#N/A</v>
      </c>
      <c r="L6" t="e">
        <f>VLOOKUP($A6,'A Main Database'!$A:$R,12,0)</f>
        <v>#N/A</v>
      </c>
      <c r="M6" t="e">
        <f>VLOOKUP($A6,'A Main Database'!$A:$R,13,0)</f>
        <v>#N/A</v>
      </c>
      <c r="N6" t="e">
        <f>VLOOKUP($A6,'A Main Database'!$A:$R,14,0)</f>
        <v>#N/A</v>
      </c>
      <c r="O6" t="e">
        <f>VLOOKUP($A6,'A Main Database'!$A:$R,15,0)</f>
        <v>#N/A</v>
      </c>
      <c r="P6" s="6" t="e">
        <f>VLOOKUP($A6,'A Main Database'!$A:$R,16,0)</f>
        <v>#N/A</v>
      </c>
      <c r="Q6" t="e">
        <f>VLOOKUP($A6,'A Main Database'!$A:$R,17,0)</f>
        <v>#N/A</v>
      </c>
      <c r="R6" t="e">
        <f>VLOOKUP($A6,'A Main Database'!$A:$R,18,0)</f>
        <v>#N/A</v>
      </c>
      <c r="S6" t="e">
        <f>VLOOKUP($A6,'A Main Database'!$A:$R,19,0)</f>
        <v>#N/A</v>
      </c>
      <c r="U6" t="e">
        <f>VLOOKUP(B6,'A Main Database'!A:A,1,0)</f>
        <v>#N/A</v>
      </c>
      <c r="V6" t="e">
        <f>VLOOKUP(B6,'A Main Database'!I:I,1,0)</f>
        <v>#N/A</v>
      </c>
      <c r="W6" t="e">
        <f>VLOOKUP(B6,'A Main Database'!M:M,1,0)</f>
        <v>#N/A</v>
      </c>
      <c r="X6" t="e">
        <f>VLOOKUP(B6,'A Main Database'!P:P,1,0)</f>
        <v>#N/A</v>
      </c>
      <c r="Y6" t="s">
        <v>287</v>
      </c>
      <c r="Z6" t="s">
        <v>292</v>
      </c>
      <c r="AA6" t="str">
        <f t="shared" ref="AA6:AA69" si="1">CONCATENATE(B6,Z6)</f>
        <v>https://businessweek.directorym.com/submit</v>
      </c>
    </row>
    <row r="7" spans="1:27" x14ac:dyDescent="0.25">
      <c r="A7" t="str">
        <f t="shared" si="0"/>
        <v>https://ca.geek-tools.org/submit</v>
      </c>
      <c r="B7" t="s">
        <v>110</v>
      </c>
      <c r="C7" s="4" t="e">
        <f>VLOOKUP($A7,'A Main Database'!$A:$R,3,0)</f>
        <v>#N/A</v>
      </c>
      <c r="D7" t="e">
        <f>VLOOKUP($A7,'A Main Database'!$A:$R,4,0)</f>
        <v>#N/A</v>
      </c>
      <c r="E7" t="e">
        <f>VLOOKUP($A7,'A Main Database'!$A:$R,5,0)</f>
        <v>#N/A</v>
      </c>
      <c r="F7" t="e">
        <f>VLOOKUP($A7,'A Main Database'!$A:$R,6,0)</f>
        <v>#N/A</v>
      </c>
      <c r="G7" t="e">
        <f>VLOOKUP($A7,'A Main Database'!$A:$R,7,0)</f>
        <v>#N/A</v>
      </c>
      <c r="H7" t="e">
        <f>VLOOKUP($A7,'A Main Database'!$A:$R,8,0)</f>
        <v>#N/A</v>
      </c>
      <c r="I7" t="e">
        <f>VLOOKUP($A7,'A Main Database'!$A:$R,9,0)</f>
        <v>#N/A</v>
      </c>
      <c r="J7" t="e">
        <f>VLOOKUP($A7,'A Main Database'!$A:$R,10,0)</f>
        <v>#N/A</v>
      </c>
      <c r="K7" t="e">
        <f>VLOOKUP($A7,'A Main Database'!$A:$R,11,0)</f>
        <v>#N/A</v>
      </c>
      <c r="L7" t="e">
        <f>VLOOKUP($A7,'A Main Database'!$A:$R,12,0)</f>
        <v>#N/A</v>
      </c>
      <c r="M7" t="e">
        <f>VLOOKUP($A7,'A Main Database'!$A:$R,13,0)</f>
        <v>#N/A</v>
      </c>
      <c r="N7" t="e">
        <f>VLOOKUP($A7,'A Main Database'!$A:$R,14,0)</f>
        <v>#N/A</v>
      </c>
      <c r="O7" t="e">
        <f>VLOOKUP($A7,'A Main Database'!$A:$R,15,0)</f>
        <v>#N/A</v>
      </c>
      <c r="P7" s="6" t="e">
        <f>VLOOKUP($A7,'A Main Database'!$A:$R,16,0)</f>
        <v>#N/A</v>
      </c>
      <c r="Q7" t="e">
        <f>VLOOKUP($A7,'A Main Database'!$A:$R,17,0)</f>
        <v>#N/A</v>
      </c>
      <c r="R7" t="e">
        <f>VLOOKUP($A7,'A Main Database'!$A:$R,18,0)</f>
        <v>#N/A</v>
      </c>
      <c r="S7" t="e">
        <f>VLOOKUP($A7,'A Main Database'!$A:$R,19,0)</f>
        <v>#N/A</v>
      </c>
      <c r="U7" t="e">
        <f>VLOOKUP(B7,'A Main Database'!A:A,1,0)</f>
        <v>#N/A</v>
      </c>
      <c r="V7" t="e">
        <f>VLOOKUP(B7,'A Main Database'!I:I,1,0)</f>
        <v>#N/A</v>
      </c>
      <c r="W7" t="e">
        <f>VLOOKUP(B7,'A Main Database'!M:M,1,0)</f>
        <v>#N/A</v>
      </c>
      <c r="X7" t="e">
        <f>VLOOKUP(B7,'A Main Database'!P:P,1,0)</f>
        <v>#N/A</v>
      </c>
      <c r="Y7" t="s">
        <v>287</v>
      </c>
      <c r="Z7" t="s">
        <v>292</v>
      </c>
      <c r="AA7" t="str">
        <f t="shared" si="1"/>
        <v>https://ca.geek-tools.org/submit</v>
      </c>
    </row>
    <row r="8" spans="1:27" x14ac:dyDescent="0.25">
      <c r="A8" t="str">
        <f t="shared" si="0"/>
        <v>http://can.ezilon.com/submit</v>
      </c>
      <c r="B8" t="s">
        <v>111</v>
      </c>
      <c r="C8" s="4" t="e">
        <f>VLOOKUP($A8,'A Main Database'!$A:$R,3,0)</f>
        <v>#N/A</v>
      </c>
      <c r="D8" t="e">
        <f>VLOOKUP($A8,'A Main Database'!$A:$R,4,0)</f>
        <v>#N/A</v>
      </c>
      <c r="E8" t="e">
        <f>VLOOKUP($A8,'A Main Database'!$A:$R,5,0)</f>
        <v>#N/A</v>
      </c>
      <c r="F8" t="e">
        <f>VLOOKUP($A8,'A Main Database'!$A:$R,6,0)</f>
        <v>#N/A</v>
      </c>
      <c r="G8" t="e">
        <f>VLOOKUP($A8,'A Main Database'!$A:$R,7,0)</f>
        <v>#N/A</v>
      </c>
      <c r="H8" t="e">
        <f>VLOOKUP($A8,'A Main Database'!$A:$R,8,0)</f>
        <v>#N/A</v>
      </c>
      <c r="I8" t="e">
        <f>VLOOKUP($A8,'A Main Database'!$A:$R,9,0)</f>
        <v>#N/A</v>
      </c>
      <c r="J8" t="e">
        <f>VLOOKUP($A8,'A Main Database'!$A:$R,10,0)</f>
        <v>#N/A</v>
      </c>
      <c r="K8" t="e">
        <f>VLOOKUP($A8,'A Main Database'!$A:$R,11,0)</f>
        <v>#N/A</v>
      </c>
      <c r="L8" t="e">
        <f>VLOOKUP($A8,'A Main Database'!$A:$R,12,0)</f>
        <v>#N/A</v>
      </c>
      <c r="M8" t="e">
        <f>VLOOKUP($A8,'A Main Database'!$A:$R,13,0)</f>
        <v>#N/A</v>
      </c>
      <c r="N8" t="e">
        <f>VLOOKUP($A8,'A Main Database'!$A:$R,14,0)</f>
        <v>#N/A</v>
      </c>
      <c r="O8" t="e">
        <f>VLOOKUP($A8,'A Main Database'!$A:$R,15,0)</f>
        <v>#N/A</v>
      </c>
      <c r="P8" s="6" t="e">
        <f>VLOOKUP($A8,'A Main Database'!$A:$R,16,0)</f>
        <v>#N/A</v>
      </c>
      <c r="Q8" t="e">
        <f>VLOOKUP($A8,'A Main Database'!$A:$R,17,0)</f>
        <v>#N/A</v>
      </c>
      <c r="R8" t="e">
        <f>VLOOKUP($A8,'A Main Database'!$A:$R,18,0)</f>
        <v>#N/A</v>
      </c>
      <c r="S8" t="e">
        <f>VLOOKUP($A8,'A Main Database'!$A:$R,19,0)</f>
        <v>#N/A</v>
      </c>
      <c r="U8" t="e">
        <f>VLOOKUP(B8,'A Main Database'!A:A,1,0)</f>
        <v>#N/A</v>
      </c>
      <c r="V8" t="e">
        <f>VLOOKUP(B8,'A Main Database'!I:I,1,0)</f>
        <v>#N/A</v>
      </c>
      <c r="W8" t="e">
        <f>VLOOKUP(B8,'A Main Database'!M:M,1,0)</f>
        <v>#N/A</v>
      </c>
      <c r="X8" t="e">
        <f>VLOOKUP(B8,'A Main Database'!P:P,1,0)</f>
        <v>#N/A</v>
      </c>
      <c r="Y8" t="s">
        <v>287</v>
      </c>
      <c r="Z8" t="s">
        <v>292</v>
      </c>
      <c r="AA8" t="str">
        <f t="shared" si="1"/>
        <v>http://can.ezilon.com/submit</v>
      </c>
    </row>
    <row r="9" spans="1:27" x14ac:dyDescent="0.25">
      <c r="A9" t="str">
        <f t="shared" si="0"/>
        <v>https://cdon.info/submit</v>
      </c>
      <c r="B9" t="s">
        <v>112</v>
      </c>
      <c r="C9" s="4" t="e">
        <f>VLOOKUP($A9,'A Main Database'!$A:$R,3,0)</f>
        <v>#N/A</v>
      </c>
      <c r="D9" t="e">
        <f>VLOOKUP($A9,'A Main Database'!$A:$R,4,0)</f>
        <v>#N/A</v>
      </c>
      <c r="E9" t="e">
        <f>VLOOKUP($A9,'A Main Database'!$A:$R,5,0)</f>
        <v>#N/A</v>
      </c>
      <c r="F9" t="e">
        <f>VLOOKUP($A9,'A Main Database'!$A:$R,6,0)</f>
        <v>#N/A</v>
      </c>
      <c r="G9" t="e">
        <f>VLOOKUP($A9,'A Main Database'!$A:$R,7,0)</f>
        <v>#N/A</v>
      </c>
      <c r="H9" t="e">
        <f>VLOOKUP($A9,'A Main Database'!$A:$R,8,0)</f>
        <v>#N/A</v>
      </c>
      <c r="I9" t="e">
        <f>VLOOKUP($A9,'A Main Database'!$A:$R,9,0)</f>
        <v>#N/A</v>
      </c>
      <c r="J9" t="e">
        <f>VLOOKUP($A9,'A Main Database'!$A:$R,10,0)</f>
        <v>#N/A</v>
      </c>
      <c r="K9" t="e">
        <f>VLOOKUP($A9,'A Main Database'!$A:$R,11,0)</f>
        <v>#N/A</v>
      </c>
      <c r="L9" t="e">
        <f>VLOOKUP($A9,'A Main Database'!$A:$R,12,0)</f>
        <v>#N/A</v>
      </c>
      <c r="M9" t="e">
        <f>VLOOKUP($A9,'A Main Database'!$A:$R,13,0)</f>
        <v>#N/A</v>
      </c>
      <c r="N9" t="e">
        <f>VLOOKUP($A9,'A Main Database'!$A:$R,14,0)</f>
        <v>#N/A</v>
      </c>
      <c r="O9" t="e">
        <f>VLOOKUP($A9,'A Main Database'!$A:$R,15,0)</f>
        <v>#N/A</v>
      </c>
      <c r="P9" s="6" t="e">
        <f>VLOOKUP($A9,'A Main Database'!$A:$R,16,0)</f>
        <v>#N/A</v>
      </c>
      <c r="Q9" t="e">
        <f>VLOOKUP($A9,'A Main Database'!$A:$R,17,0)</f>
        <v>#N/A</v>
      </c>
      <c r="R9" t="e">
        <f>VLOOKUP($A9,'A Main Database'!$A:$R,18,0)</f>
        <v>#N/A</v>
      </c>
      <c r="S9" t="e">
        <f>VLOOKUP($A9,'A Main Database'!$A:$R,19,0)</f>
        <v>#N/A</v>
      </c>
      <c r="U9" t="e">
        <f>VLOOKUP(B9,'A Main Database'!A:A,1,0)</f>
        <v>#N/A</v>
      </c>
      <c r="V9" t="e">
        <f>VLOOKUP(B9,'A Main Database'!I:I,1,0)</f>
        <v>#N/A</v>
      </c>
      <c r="W9" t="e">
        <f>VLOOKUP(B9,'A Main Database'!M:M,1,0)</f>
        <v>#N/A</v>
      </c>
      <c r="X9" t="e">
        <f>VLOOKUP(B9,'A Main Database'!P:P,1,0)</f>
        <v>#N/A</v>
      </c>
      <c r="Y9" t="s">
        <v>287</v>
      </c>
      <c r="Z9" t="s">
        <v>292</v>
      </c>
      <c r="AA9" t="str">
        <f t="shared" si="1"/>
        <v>https://cdon.info/submit</v>
      </c>
    </row>
    <row r="10" spans="1:27" x14ac:dyDescent="0.25">
      <c r="A10" t="str">
        <f t="shared" si="0"/>
        <v>http://cleaning.intently.co/submit</v>
      </c>
      <c r="B10" t="s">
        <v>113</v>
      </c>
      <c r="C10" s="4" t="e">
        <f>VLOOKUP($A10,'A Main Database'!$A:$R,3,0)</f>
        <v>#N/A</v>
      </c>
      <c r="D10" t="e">
        <f>VLOOKUP($A10,'A Main Database'!$A:$R,4,0)</f>
        <v>#N/A</v>
      </c>
      <c r="E10" t="e">
        <f>VLOOKUP($A10,'A Main Database'!$A:$R,5,0)</f>
        <v>#N/A</v>
      </c>
      <c r="F10" t="e">
        <f>VLOOKUP($A10,'A Main Database'!$A:$R,6,0)</f>
        <v>#N/A</v>
      </c>
      <c r="G10" t="e">
        <f>VLOOKUP($A10,'A Main Database'!$A:$R,7,0)</f>
        <v>#N/A</v>
      </c>
      <c r="H10" t="e">
        <f>VLOOKUP($A10,'A Main Database'!$A:$R,8,0)</f>
        <v>#N/A</v>
      </c>
      <c r="I10" t="e">
        <f>VLOOKUP($A10,'A Main Database'!$A:$R,9,0)</f>
        <v>#N/A</v>
      </c>
      <c r="J10" t="e">
        <f>VLOOKUP($A10,'A Main Database'!$A:$R,10,0)</f>
        <v>#N/A</v>
      </c>
      <c r="K10" t="e">
        <f>VLOOKUP($A10,'A Main Database'!$A:$R,11,0)</f>
        <v>#N/A</v>
      </c>
      <c r="L10" t="e">
        <f>VLOOKUP($A10,'A Main Database'!$A:$R,12,0)</f>
        <v>#N/A</v>
      </c>
      <c r="M10" t="e">
        <f>VLOOKUP($A10,'A Main Database'!$A:$R,13,0)</f>
        <v>#N/A</v>
      </c>
      <c r="N10" t="e">
        <f>VLOOKUP($A10,'A Main Database'!$A:$R,14,0)</f>
        <v>#N/A</v>
      </c>
      <c r="O10" t="e">
        <f>VLOOKUP($A10,'A Main Database'!$A:$R,15,0)</f>
        <v>#N/A</v>
      </c>
      <c r="P10" s="6" t="e">
        <f>VLOOKUP($A10,'A Main Database'!$A:$R,16,0)</f>
        <v>#N/A</v>
      </c>
      <c r="Q10" t="e">
        <f>VLOOKUP($A10,'A Main Database'!$A:$R,17,0)</f>
        <v>#N/A</v>
      </c>
      <c r="R10" t="e">
        <f>VLOOKUP($A10,'A Main Database'!$A:$R,18,0)</f>
        <v>#N/A</v>
      </c>
      <c r="S10" t="e">
        <f>VLOOKUP($A10,'A Main Database'!$A:$R,19,0)</f>
        <v>#N/A</v>
      </c>
      <c r="U10" t="e">
        <f>VLOOKUP(B10,'A Main Database'!A:A,1,0)</f>
        <v>#N/A</v>
      </c>
      <c r="V10" t="e">
        <f>VLOOKUP(B10,'A Main Database'!I:I,1,0)</f>
        <v>#N/A</v>
      </c>
      <c r="W10" t="e">
        <f>VLOOKUP(B10,'A Main Database'!M:M,1,0)</f>
        <v>#N/A</v>
      </c>
      <c r="X10" t="e">
        <f>VLOOKUP(B10,'A Main Database'!P:P,1,0)</f>
        <v>#N/A</v>
      </c>
      <c r="Y10" t="s">
        <v>287</v>
      </c>
      <c r="Z10" t="s">
        <v>292</v>
      </c>
      <c r="AA10" t="str">
        <f t="shared" si="1"/>
        <v>http://cleaning.intently.co/submit</v>
      </c>
    </row>
    <row r="11" spans="1:27" x14ac:dyDescent="0.25">
      <c r="A11" t="str">
        <f t="shared" si="0"/>
        <v>https://www.cleaningcompanygortova.blogspot.com/submit</v>
      </c>
      <c r="B11" t="s">
        <v>114</v>
      </c>
      <c r="C11" s="4" t="e">
        <f>VLOOKUP($A11,'A Main Database'!$A:$R,3,0)</f>
        <v>#N/A</v>
      </c>
      <c r="D11" t="e">
        <f>VLOOKUP($A11,'A Main Database'!$A:$R,4,0)</f>
        <v>#N/A</v>
      </c>
      <c r="E11" t="e">
        <f>VLOOKUP($A11,'A Main Database'!$A:$R,5,0)</f>
        <v>#N/A</v>
      </c>
      <c r="F11" t="e">
        <f>VLOOKUP($A11,'A Main Database'!$A:$R,6,0)</f>
        <v>#N/A</v>
      </c>
      <c r="G11" t="e">
        <f>VLOOKUP($A11,'A Main Database'!$A:$R,7,0)</f>
        <v>#N/A</v>
      </c>
      <c r="H11" t="e">
        <f>VLOOKUP($A11,'A Main Database'!$A:$R,8,0)</f>
        <v>#N/A</v>
      </c>
      <c r="I11" t="e">
        <f>VLOOKUP($A11,'A Main Database'!$A:$R,9,0)</f>
        <v>#N/A</v>
      </c>
      <c r="J11" t="e">
        <f>VLOOKUP($A11,'A Main Database'!$A:$R,10,0)</f>
        <v>#N/A</v>
      </c>
      <c r="K11" t="e">
        <f>VLOOKUP($A11,'A Main Database'!$A:$R,11,0)</f>
        <v>#N/A</v>
      </c>
      <c r="L11" t="e">
        <f>VLOOKUP($A11,'A Main Database'!$A:$R,12,0)</f>
        <v>#N/A</v>
      </c>
      <c r="M11" t="e">
        <f>VLOOKUP($A11,'A Main Database'!$A:$R,13,0)</f>
        <v>#N/A</v>
      </c>
      <c r="N11" t="e">
        <f>VLOOKUP($A11,'A Main Database'!$A:$R,14,0)</f>
        <v>#N/A</v>
      </c>
      <c r="O11" t="e">
        <f>VLOOKUP($A11,'A Main Database'!$A:$R,15,0)</f>
        <v>#N/A</v>
      </c>
      <c r="P11" s="6" t="e">
        <f>VLOOKUP($A11,'A Main Database'!$A:$R,16,0)</f>
        <v>#N/A</v>
      </c>
      <c r="Q11" t="e">
        <f>VLOOKUP($A11,'A Main Database'!$A:$R,17,0)</f>
        <v>#N/A</v>
      </c>
      <c r="R11" t="e">
        <f>VLOOKUP($A11,'A Main Database'!$A:$R,18,0)</f>
        <v>#N/A</v>
      </c>
      <c r="S11" t="e">
        <f>VLOOKUP($A11,'A Main Database'!$A:$R,19,0)</f>
        <v>#N/A</v>
      </c>
      <c r="U11" t="e">
        <f>VLOOKUP(B11,'A Main Database'!A:A,1,0)</f>
        <v>#N/A</v>
      </c>
      <c r="V11" t="e">
        <f>VLOOKUP(B11,'A Main Database'!I:I,1,0)</f>
        <v>#N/A</v>
      </c>
      <c r="W11" t="e">
        <f>VLOOKUP(B11,'A Main Database'!M:M,1,0)</f>
        <v>#N/A</v>
      </c>
      <c r="X11" t="e">
        <f>VLOOKUP(B11,'A Main Database'!P:P,1,0)</f>
        <v>#N/A</v>
      </c>
      <c r="Y11" t="s">
        <v>287</v>
      </c>
      <c r="Z11" t="s">
        <v>292</v>
      </c>
      <c r="AA11" t="str">
        <f t="shared" si="1"/>
        <v>https://www.cleaningcompanygortova.blogspot.com/submit</v>
      </c>
    </row>
    <row r="12" spans="1:27" x14ac:dyDescent="0.25">
      <c r="A12" t="str">
        <f t="shared" si="0"/>
        <v>https://cleaningjobanokako.blogspot.com/submit</v>
      </c>
      <c r="B12" t="s">
        <v>115</v>
      </c>
      <c r="C12" s="4" t="e">
        <f>VLOOKUP($A12,'A Main Database'!$A:$R,3,0)</f>
        <v>#N/A</v>
      </c>
      <c r="D12" t="e">
        <f>VLOOKUP($A12,'A Main Database'!$A:$R,4,0)</f>
        <v>#N/A</v>
      </c>
      <c r="E12" t="e">
        <f>VLOOKUP($A12,'A Main Database'!$A:$R,5,0)</f>
        <v>#N/A</v>
      </c>
      <c r="F12" t="e">
        <f>VLOOKUP($A12,'A Main Database'!$A:$R,6,0)</f>
        <v>#N/A</v>
      </c>
      <c r="G12" t="e">
        <f>VLOOKUP($A12,'A Main Database'!$A:$R,7,0)</f>
        <v>#N/A</v>
      </c>
      <c r="H12" t="e">
        <f>VLOOKUP($A12,'A Main Database'!$A:$R,8,0)</f>
        <v>#N/A</v>
      </c>
      <c r="I12" t="e">
        <f>VLOOKUP($A12,'A Main Database'!$A:$R,9,0)</f>
        <v>#N/A</v>
      </c>
      <c r="J12" t="e">
        <f>VLOOKUP($A12,'A Main Database'!$A:$R,10,0)</f>
        <v>#N/A</v>
      </c>
      <c r="K12" t="e">
        <f>VLOOKUP($A12,'A Main Database'!$A:$R,11,0)</f>
        <v>#N/A</v>
      </c>
      <c r="L12" t="e">
        <f>VLOOKUP($A12,'A Main Database'!$A:$R,12,0)</f>
        <v>#N/A</v>
      </c>
      <c r="M12" t="e">
        <f>VLOOKUP($A12,'A Main Database'!$A:$R,13,0)</f>
        <v>#N/A</v>
      </c>
      <c r="N12" t="e">
        <f>VLOOKUP($A12,'A Main Database'!$A:$R,14,0)</f>
        <v>#N/A</v>
      </c>
      <c r="O12" t="e">
        <f>VLOOKUP($A12,'A Main Database'!$A:$R,15,0)</f>
        <v>#N/A</v>
      </c>
      <c r="P12" s="6" t="e">
        <f>VLOOKUP($A12,'A Main Database'!$A:$R,16,0)</f>
        <v>#N/A</v>
      </c>
      <c r="Q12" t="e">
        <f>VLOOKUP($A12,'A Main Database'!$A:$R,17,0)</f>
        <v>#N/A</v>
      </c>
      <c r="R12" t="e">
        <f>VLOOKUP($A12,'A Main Database'!$A:$R,18,0)</f>
        <v>#N/A</v>
      </c>
      <c r="S12" t="e">
        <f>VLOOKUP($A12,'A Main Database'!$A:$R,19,0)</f>
        <v>#N/A</v>
      </c>
      <c r="U12" t="e">
        <f>VLOOKUP(B12,'A Main Database'!A:A,1,0)</f>
        <v>#N/A</v>
      </c>
      <c r="V12" t="e">
        <f>VLOOKUP(B12,'A Main Database'!I:I,1,0)</f>
        <v>#N/A</v>
      </c>
      <c r="W12" t="e">
        <f>VLOOKUP(B12,'A Main Database'!M:M,1,0)</f>
        <v>#N/A</v>
      </c>
      <c r="X12" t="e">
        <f>VLOOKUP(B12,'A Main Database'!P:P,1,0)</f>
        <v>#N/A</v>
      </c>
      <c r="Y12" t="s">
        <v>287</v>
      </c>
      <c r="Z12" t="s">
        <v>292</v>
      </c>
      <c r="AA12" t="str">
        <f t="shared" si="1"/>
        <v>https://cleaningjobanokako.blogspot.com/submit</v>
      </c>
    </row>
    <row r="13" spans="1:27" x14ac:dyDescent="0.25">
      <c r="A13" t="str">
        <f t="shared" si="0"/>
        <v>http://cleaningjobporongi.blogspot.com/submit</v>
      </c>
      <c r="B13" t="s">
        <v>116</v>
      </c>
      <c r="C13" s="4" t="e">
        <f>VLOOKUP($A13,'A Main Database'!$A:$R,3,0)</f>
        <v>#N/A</v>
      </c>
      <c r="D13" t="e">
        <f>VLOOKUP($A13,'A Main Database'!$A:$R,4,0)</f>
        <v>#N/A</v>
      </c>
      <c r="E13" t="e">
        <f>VLOOKUP($A13,'A Main Database'!$A:$R,5,0)</f>
        <v>#N/A</v>
      </c>
      <c r="F13" t="e">
        <f>VLOOKUP($A13,'A Main Database'!$A:$R,6,0)</f>
        <v>#N/A</v>
      </c>
      <c r="G13" t="e">
        <f>VLOOKUP($A13,'A Main Database'!$A:$R,7,0)</f>
        <v>#N/A</v>
      </c>
      <c r="H13" t="e">
        <f>VLOOKUP($A13,'A Main Database'!$A:$R,8,0)</f>
        <v>#N/A</v>
      </c>
      <c r="I13" t="e">
        <f>VLOOKUP($A13,'A Main Database'!$A:$R,9,0)</f>
        <v>#N/A</v>
      </c>
      <c r="J13" t="e">
        <f>VLOOKUP($A13,'A Main Database'!$A:$R,10,0)</f>
        <v>#N/A</v>
      </c>
      <c r="K13" t="e">
        <f>VLOOKUP($A13,'A Main Database'!$A:$R,11,0)</f>
        <v>#N/A</v>
      </c>
      <c r="L13" t="e">
        <f>VLOOKUP($A13,'A Main Database'!$A:$R,12,0)</f>
        <v>#N/A</v>
      </c>
      <c r="M13" t="e">
        <f>VLOOKUP($A13,'A Main Database'!$A:$R,13,0)</f>
        <v>#N/A</v>
      </c>
      <c r="N13" t="e">
        <f>VLOOKUP($A13,'A Main Database'!$A:$R,14,0)</f>
        <v>#N/A</v>
      </c>
      <c r="O13" t="e">
        <f>VLOOKUP($A13,'A Main Database'!$A:$R,15,0)</f>
        <v>#N/A</v>
      </c>
      <c r="P13" s="6" t="e">
        <f>VLOOKUP($A13,'A Main Database'!$A:$R,16,0)</f>
        <v>#N/A</v>
      </c>
      <c r="Q13" t="e">
        <f>VLOOKUP($A13,'A Main Database'!$A:$R,17,0)</f>
        <v>#N/A</v>
      </c>
      <c r="R13" t="e">
        <f>VLOOKUP($A13,'A Main Database'!$A:$R,18,0)</f>
        <v>#N/A</v>
      </c>
      <c r="S13" t="e">
        <f>VLOOKUP($A13,'A Main Database'!$A:$R,19,0)</f>
        <v>#N/A</v>
      </c>
      <c r="U13" t="e">
        <f>VLOOKUP(B13,'A Main Database'!A:A,1,0)</f>
        <v>#N/A</v>
      </c>
      <c r="V13" t="e">
        <f>VLOOKUP(B13,'A Main Database'!I:I,1,0)</f>
        <v>#N/A</v>
      </c>
      <c r="W13" t="e">
        <f>VLOOKUP(B13,'A Main Database'!M:M,1,0)</f>
        <v>#N/A</v>
      </c>
      <c r="X13" t="e">
        <f>VLOOKUP(B13,'A Main Database'!P:P,1,0)</f>
        <v>#N/A</v>
      </c>
      <c r="Y13" t="s">
        <v>287</v>
      </c>
      <c r="Z13" t="s">
        <v>292</v>
      </c>
      <c r="AA13" t="str">
        <f t="shared" si="1"/>
        <v>http://cleaningjobporongi.blogspot.com/submit</v>
      </c>
    </row>
    <row r="14" spans="1:27" x14ac:dyDescent="0.25">
      <c r="A14" t="str">
        <f t="shared" si="0"/>
        <v>https://cleaningjobsgornik.blogspot.com/submit</v>
      </c>
      <c r="B14" t="s">
        <v>117</v>
      </c>
      <c r="C14" s="4" t="e">
        <f>VLOOKUP($A14,'A Main Database'!$A:$R,3,0)</f>
        <v>#N/A</v>
      </c>
      <c r="D14" t="e">
        <f>VLOOKUP($A14,'A Main Database'!$A:$R,4,0)</f>
        <v>#N/A</v>
      </c>
      <c r="E14" t="e">
        <f>VLOOKUP($A14,'A Main Database'!$A:$R,5,0)</f>
        <v>#N/A</v>
      </c>
      <c r="F14" t="e">
        <f>VLOOKUP($A14,'A Main Database'!$A:$R,6,0)</f>
        <v>#N/A</v>
      </c>
      <c r="G14" t="e">
        <f>VLOOKUP($A14,'A Main Database'!$A:$R,7,0)</f>
        <v>#N/A</v>
      </c>
      <c r="H14" t="e">
        <f>VLOOKUP($A14,'A Main Database'!$A:$R,8,0)</f>
        <v>#N/A</v>
      </c>
      <c r="I14" t="e">
        <f>VLOOKUP($A14,'A Main Database'!$A:$R,9,0)</f>
        <v>#N/A</v>
      </c>
      <c r="J14" t="e">
        <f>VLOOKUP($A14,'A Main Database'!$A:$R,10,0)</f>
        <v>#N/A</v>
      </c>
      <c r="K14" t="e">
        <f>VLOOKUP($A14,'A Main Database'!$A:$R,11,0)</f>
        <v>#N/A</v>
      </c>
      <c r="L14" t="e">
        <f>VLOOKUP($A14,'A Main Database'!$A:$R,12,0)</f>
        <v>#N/A</v>
      </c>
      <c r="M14" t="e">
        <f>VLOOKUP($A14,'A Main Database'!$A:$R,13,0)</f>
        <v>#N/A</v>
      </c>
      <c r="N14" t="e">
        <f>VLOOKUP($A14,'A Main Database'!$A:$R,14,0)</f>
        <v>#N/A</v>
      </c>
      <c r="O14" t="e">
        <f>VLOOKUP($A14,'A Main Database'!$A:$R,15,0)</f>
        <v>#N/A</v>
      </c>
      <c r="P14" s="6" t="e">
        <f>VLOOKUP($A14,'A Main Database'!$A:$R,16,0)</f>
        <v>#N/A</v>
      </c>
      <c r="Q14" t="e">
        <f>VLOOKUP($A14,'A Main Database'!$A:$R,17,0)</f>
        <v>#N/A</v>
      </c>
      <c r="R14" t="e">
        <f>VLOOKUP($A14,'A Main Database'!$A:$R,18,0)</f>
        <v>#N/A</v>
      </c>
      <c r="S14" t="e">
        <f>VLOOKUP($A14,'A Main Database'!$A:$R,19,0)</f>
        <v>#N/A</v>
      </c>
      <c r="U14" t="e">
        <f>VLOOKUP(B14,'A Main Database'!A:A,1,0)</f>
        <v>#N/A</v>
      </c>
      <c r="V14" t="e">
        <f>VLOOKUP(B14,'A Main Database'!I:I,1,0)</f>
        <v>#N/A</v>
      </c>
      <c r="W14" t="e">
        <f>VLOOKUP(B14,'A Main Database'!M:M,1,0)</f>
        <v>#N/A</v>
      </c>
      <c r="X14" t="e">
        <f>VLOOKUP(B14,'A Main Database'!P:P,1,0)</f>
        <v>#N/A</v>
      </c>
      <c r="Y14" t="s">
        <v>287</v>
      </c>
      <c r="Z14" t="s">
        <v>292</v>
      </c>
      <c r="AA14" t="str">
        <f t="shared" si="1"/>
        <v>https://cleaningjobsgornik.blogspot.com/submit</v>
      </c>
    </row>
    <row r="15" spans="1:27" x14ac:dyDescent="0.25">
      <c r="A15" t="str">
        <f t="shared" si="0"/>
        <v>http://cleaningserviceemiwazayo.blogspot.com/submit</v>
      </c>
      <c r="B15" t="s">
        <v>118</v>
      </c>
      <c r="C15" s="4" t="e">
        <f>VLOOKUP($A15,'A Main Database'!$A:$R,3,0)</f>
        <v>#N/A</v>
      </c>
      <c r="D15" t="e">
        <f>VLOOKUP($A15,'A Main Database'!$A:$R,4,0)</f>
        <v>#N/A</v>
      </c>
      <c r="E15" t="e">
        <f>VLOOKUP($A15,'A Main Database'!$A:$R,5,0)</f>
        <v>#N/A</v>
      </c>
      <c r="F15" t="e">
        <f>VLOOKUP($A15,'A Main Database'!$A:$R,6,0)</f>
        <v>#N/A</v>
      </c>
      <c r="G15" t="e">
        <f>VLOOKUP($A15,'A Main Database'!$A:$R,7,0)</f>
        <v>#N/A</v>
      </c>
      <c r="H15" t="e">
        <f>VLOOKUP($A15,'A Main Database'!$A:$R,8,0)</f>
        <v>#N/A</v>
      </c>
      <c r="I15" t="e">
        <f>VLOOKUP($A15,'A Main Database'!$A:$R,9,0)</f>
        <v>#N/A</v>
      </c>
      <c r="J15" t="e">
        <f>VLOOKUP($A15,'A Main Database'!$A:$R,10,0)</f>
        <v>#N/A</v>
      </c>
      <c r="K15" t="e">
        <f>VLOOKUP($A15,'A Main Database'!$A:$R,11,0)</f>
        <v>#N/A</v>
      </c>
      <c r="L15" t="e">
        <f>VLOOKUP($A15,'A Main Database'!$A:$R,12,0)</f>
        <v>#N/A</v>
      </c>
      <c r="M15" t="e">
        <f>VLOOKUP($A15,'A Main Database'!$A:$R,13,0)</f>
        <v>#N/A</v>
      </c>
      <c r="N15" t="e">
        <f>VLOOKUP($A15,'A Main Database'!$A:$R,14,0)</f>
        <v>#N/A</v>
      </c>
      <c r="O15" t="e">
        <f>VLOOKUP($A15,'A Main Database'!$A:$R,15,0)</f>
        <v>#N/A</v>
      </c>
      <c r="P15" s="6" t="e">
        <f>VLOOKUP($A15,'A Main Database'!$A:$R,16,0)</f>
        <v>#N/A</v>
      </c>
      <c r="Q15" t="e">
        <f>VLOOKUP($A15,'A Main Database'!$A:$R,17,0)</f>
        <v>#N/A</v>
      </c>
      <c r="R15" t="e">
        <f>VLOOKUP($A15,'A Main Database'!$A:$R,18,0)</f>
        <v>#N/A</v>
      </c>
      <c r="S15" t="e">
        <f>VLOOKUP($A15,'A Main Database'!$A:$R,19,0)</f>
        <v>#N/A</v>
      </c>
      <c r="U15" t="e">
        <f>VLOOKUP(B15,'A Main Database'!A:A,1,0)</f>
        <v>#N/A</v>
      </c>
      <c r="V15" t="e">
        <f>VLOOKUP(B15,'A Main Database'!I:I,1,0)</f>
        <v>#N/A</v>
      </c>
      <c r="W15" t="e">
        <f>VLOOKUP(B15,'A Main Database'!M:M,1,0)</f>
        <v>#N/A</v>
      </c>
      <c r="X15" t="e">
        <f>VLOOKUP(B15,'A Main Database'!P:P,1,0)</f>
        <v>#N/A</v>
      </c>
      <c r="Y15" t="s">
        <v>287</v>
      </c>
      <c r="Z15" t="s">
        <v>292</v>
      </c>
      <c r="AA15" t="str">
        <f t="shared" si="1"/>
        <v>http://cleaningserviceemiwazayo.blogspot.com/submit</v>
      </c>
    </row>
    <row r="16" spans="1:27" x14ac:dyDescent="0.25">
      <c r="A16" t="str">
        <f t="shared" si="0"/>
        <v>www.cleaningserviceshobaika.blogspot.com/submit</v>
      </c>
      <c r="B16" t="s">
        <v>119</v>
      </c>
      <c r="C16" s="4" t="e">
        <f>VLOOKUP($A16,'A Main Database'!$A:$R,3,0)</f>
        <v>#N/A</v>
      </c>
      <c r="D16" t="e">
        <f>VLOOKUP($A16,'A Main Database'!$A:$R,4,0)</f>
        <v>#N/A</v>
      </c>
      <c r="E16" t="e">
        <f>VLOOKUP($A16,'A Main Database'!$A:$R,5,0)</f>
        <v>#N/A</v>
      </c>
      <c r="F16" t="e">
        <f>VLOOKUP($A16,'A Main Database'!$A:$R,6,0)</f>
        <v>#N/A</v>
      </c>
      <c r="G16" t="e">
        <f>VLOOKUP($A16,'A Main Database'!$A:$R,7,0)</f>
        <v>#N/A</v>
      </c>
      <c r="H16" t="e">
        <f>VLOOKUP($A16,'A Main Database'!$A:$R,8,0)</f>
        <v>#N/A</v>
      </c>
      <c r="I16" t="e">
        <f>VLOOKUP($A16,'A Main Database'!$A:$R,9,0)</f>
        <v>#N/A</v>
      </c>
      <c r="J16" t="e">
        <f>VLOOKUP($A16,'A Main Database'!$A:$R,10,0)</f>
        <v>#N/A</v>
      </c>
      <c r="K16" t="e">
        <f>VLOOKUP($A16,'A Main Database'!$A:$R,11,0)</f>
        <v>#N/A</v>
      </c>
      <c r="L16" t="e">
        <f>VLOOKUP($A16,'A Main Database'!$A:$R,12,0)</f>
        <v>#N/A</v>
      </c>
      <c r="M16" t="e">
        <f>VLOOKUP($A16,'A Main Database'!$A:$R,13,0)</f>
        <v>#N/A</v>
      </c>
      <c r="N16" t="e">
        <f>VLOOKUP($A16,'A Main Database'!$A:$R,14,0)</f>
        <v>#N/A</v>
      </c>
      <c r="O16" t="e">
        <f>VLOOKUP($A16,'A Main Database'!$A:$R,15,0)</f>
        <v>#N/A</v>
      </c>
      <c r="P16" s="6" t="e">
        <f>VLOOKUP($A16,'A Main Database'!$A:$R,16,0)</f>
        <v>#N/A</v>
      </c>
      <c r="Q16" t="e">
        <f>VLOOKUP($A16,'A Main Database'!$A:$R,17,0)</f>
        <v>#N/A</v>
      </c>
      <c r="R16" t="e">
        <f>VLOOKUP($A16,'A Main Database'!$A:$R,18,0)</f>
        <v>#N/A</v>
      </c>
      <c r="S16" t="e">
        <f>VLOOKUP($A16,'A Main Database'!$A:$R,19,0)</f>
        <v>#N/A</v>
      </c>
      <c r="U16" t="e">
        <f>VLOOKUP(B16,'A Main Database'!A:A,1,0)</f>
        <v>#N/A</v>
      </c>
      <c r="V16" t="e">
        <f>VLOOKUP(B16,'A Main Database'!I:I,1,0)</f>
        <v>#N/A</v>
      </c>
      <c r="W16" t="e">
        <f>VLOOKUP(B16,'A Main Database'!M:M,1,0)</f>
        <v>#N/A</v>
      </c>
      <c r="X16" t="e">
        <f>VLOOKUP(B16,'A Main Database'!P:P,1,0)</f>
        <v>#N/A</v>
      </c>
      <c r="Y16" t="s">
        <v>287</v>
      </c>
      <c r="Z16" t="s">
        <v>292</v>
      </c>
      <c r="AA16" t="str">
        <f t="shared" si="1"/>
        <v>www.cleaningserviceshobaika.blogspot.com/submit</v>
      </c>
    </row>
    <row r="17" spans="1:27" x14ac:dyDescent="0.25">
      <c r="A17" t="str">
        <f t="shared" si="0"/>
        <v>https://cleaningserviceskomarila.blogspot.com/submit</v>
      </c>
      <c r="B17" t="s">
        <v>120</v>
      </c>
      <c r="C17" s="4" t="e">
        <f>VLOOKUP($A17,'A Main Database'!$A:$R,3,0)</f>
        <v>#N/A</v>
      </c>
      <c r="D17" t="e">
        <f>VLOOKUP($A17,'A Main Database'!$A:$R,4,0)</f>
        <v>#N/A</v>
      </c>
      <c r="E17" t="e">
        <f>VLOOKUP($A17,'A Main Database'!$A:$R,5,0)</f>
        <v>#N/A</v>
      </c>
      <c r="F17" t="e">
        <f>VLOOKUP($A17,'A Main Database'!$A:$R,6,0)</f>
        <v>#N/A</v>
      </c>
      <c r="G17" t="e">
        <f>VLOOKUP($A17,'A Main Database'!$A:$R,7,0)</f>
        <v>#N/A</v>
      </c>
      <c r="H17" t="e">
        <f>VLOOKUP($A17,'A Main Database'!$A:$R,8,0)</f>
        <v>#N/A</v>
      </c>
      <c r="I17" t="e">
        <f>VLOOKUP($A17,'A Main Database'!$A:$R,9,0)</f>
        <v>#N/A</v>
      </c>
      <c r="J17" t="e">
        <f>VLOOKUP($A17,'A Main Database'!$A:$R,10,0)</f>
        <v>#N/A</v>
      </c>
      <c r="K17" t="e">
        <f>VLOOKUP($A17,'A Main Database'!$A:$R,11,0)</f>
        <v>#N/A</v>
      </c>
      <c r="L17" t="e">
        <f>VLOOKUP($A17,'A Main Database'!$A:$R,12,0)</f>
        <v>#N/A</v>
      </c>
      <c r="M17" t="e">
        <f>VLOOKUP($A17,'A Main Database'!$A:$R,13,0)</f>
        <v>#N/A</v>
      </c>
      <c r="N17" t="e">
        <f>VLOOKUP($A17,'A Main Database'!$A:$R,14,0)</f>
        <v>#N/A</v>
      </c>
      <c r="O17" t="e">
        <f>VLOOKUP($A17,'A Main Database'!$A:$R,15,0)</f>
        <v>#N/A</v>
      </c>
      <c r="P17" s="6" t="e">
        <f>VLOOKUP($A17,'A Main Database'!$A:$R,16,0)</f>
        <v>#N/A</v>
      </c>
      <c r="Q17" t="e">
        <f>VLOOKUP($A17,'A Main Database'!$A:$R,17,0)</f>
        <v>#N/A</v>
      </c>
      <c r="R17" t="e">
        <f>VLOOKUP($A17,'A Main Database'!$A:$R,18,0)</f>
        <v>#N/A</v>
      </c>
      <c r="S17" t="e">
        <f>VLOOKUP($A17,'A Main Database'!$A:$R,19,0)</f>
        <v>#N/A</v>
      </c>
      <c r="U17" t="e">
        <f>VLOOKUP(B17,'A Main Database'!A:A,1,0)</f>
        <v>#N/A</v>
      </c>
      <c r="V17" t="e">
        <f>VLOOKUP(B17,'A Main Database'!I:I,1,0)</f>
        <v>#N/A</v>
      </c>
      <c r="W17" t="e">
        <f>VLOOKUP(B17,'A Main Database'!M:M,1,0)</f>
        <v>#N/A</v>
      </c>
      <c r="X17" t="e">
        <f>VLOOKUP(B17,'A Main Database'!P:P,1,0)</f>
        <v>#N/A</v>
      </c>
      <c r="Y17" t="s">
        <v>287</v>
      </c>
      <c r="Z17" t="s">
        <v>292</v>
      </c>
      <c r="AA17" t="str">
        <f t="shared" si="1"/>
        <v>https://cleaningserviceskomarila.blogspot.com/submit</v>
      </c>
    </row>
    <row r="18" spans="1:27" x14ac:dyDescent="0.25">
      <c r="A18" t="str">
        <f t="shared" si="0"/>
        <v>http://cleaningservicezapad.blogspot.com/submit</v>
      </c>
      <c r="B18" t="s">
        <v>121</v>
      </c>
      <c r="C18" s="4" t="e">
        <f>VLOOKUP($A18,'A Main Database'!$A:$R,3,0)</f>
        <v>#N/A</v>
      </c>
      <c r="D18" t="e">
        <f>VLOOKUP($A18,'A Main Database'!$A:$R,4,0)</f>
        <v>#N/A</v>
      </c>
      <c r="E18" t="e">
        <f>VLOOKUP($A18,'A Main Database'!$A:$R,5,0)</f>
        <v>#N/A</v>
      </c>
      <c r="F18" t="e">
        <f>VLOOKUP($A18,'A Main Database'!$A:$R,6,0)</f>
        <v>#N/A</v>
      </c>
      <c r="G18" t="e">
        <f>VLOOKUP($A18,'A Main Database'!$A:$R,7,0)</f>
        <v>#N/A</v>
      </c>
      <c r="H18" t="e">
        <f>VLOOKUP($A18,'A Main Database'!$A:$R,8,0)</f>
        <v>#N/A</v>
      </c>
      <c r="I18" t="e">
        <f>VLOOKUP($A18,'A Main Database'!$A:$R,9,0)</f>
        <v>#N/A</v>
      </c>
      <c r="J18" t="e">
        <f>VLOOKUP($A18,'A Main Database'!$A:$R,10,0)</f>
        <v>#N/A</v>
      </c>
      <c r="K18" t="e">
        <f>VLOOKUP($A18,'A Main Database'!$A:$R,11,0)</f>
        <v>#N/A</v>
      </c>
      <c r="L18" t="e">
        <f>VLOOKUP($A18,'A Main Database'!$A:$R,12,0)</f>
        <v>#N/A</v>
      </c>
      <c r="M18" t="e">
        <f>VLOOKUP($A18,'A Main Database'!$A:$R,13,0)</f>
        <v>#N/A</v>
      </c>
      <c r="N18" t="e">
        <f>VLOOKUP($A18,'A Main Database'!$A:$R,14,0)</f>
        <v>#N/A</v>
      </c>
      <c r="O18" t="e">
        <f>VLOOKUP($A18,'A Main Database'!$A:$R,15,0)</f>
        <v>#N/A</v>
      </c>
      <c r="P18" s="6" t="e">
        <f>VLOOKUP($A18,'A Main Database'!$A:$R,16,0)</f>
        <v>#N/A</v>
      </c>
      <c r="Q18" t="e">
        <f>VLOOKUP($A18,'A Main Database'!$A:$R,17,0)</f>
        <v>#N/A</v>
      </c>
      <c r="R18" t="e">
        <f>VLOOKUP($A18,'A Main Database'!$A:$R,18,0)</f>
        <v>#N/A</v>
      </c>
      <c r="S18" t="e">
        <f>VLOOKUP($A18,'A Main Database'!$A:$R,19,0)</f>
        <v>#N/A</v>
      </c>
      <c r="U18" t="e">
        <f>VLOOKUP(B18,'A Main Database'!A:A,1,0)</f>
        <v>#N/A</v>
      </c>
      <c r="V18" t="e">
        <f>VLOOKUP(B18,'A Main Database'!I:I,1,0)</f>
        <v>#N/A</v>
      </c>
      <c r="W18" t="e">
        <f>VLOOKUP(B18,'A Main Database'!M:M,1,0)</f>
        <v>#N/A</v>
      </c>
      <c r="X18" t="e">
        <f>VLOOKUP(B18,'A Main Database'!P:P,1,0)</f>
        <v>#N/A</v>
      </c>
      <c r="Y18" t="s">
        <v>287</v>
      </c>
      <c r="Z18" t="s">
        <v>292</v>
      </c>
      <c r="AA18" t="str">
        <f t="shared" si="1"/>
        <v>http://cleaningservicezapad.blogspot.com/submit</v>
      </c>
    </row>
    <row r="19" spans="1:27" x14ac:dyDescent="0.25">
      <c r="A19" t="str">
        <f t="shared" si="0"/>
        <v>https://www.commercialcleaningenindeki.blogspot.com/submit</v>
      </c>
      <c r="B19" t="s">
        <v>122</v>
      </c>
      <c r="C19" s="4" t="e">
        <f>VLOOKUP($A19,'A Main Database'!$A:$R,3,0)</f>
        <v>#N/A</v>
      </c>
      <c r="D19" t="e">
        <f>VLOOKUP($A19,'A Main Database'!$A:$R,4,0)</f>
        <v>#N/A</v>
      </c>
      <c r="E19" t="e">
        <f>VLOOKUP($A19,'A Main Database'!$A:$R,5,0)</f>
        <v>#N/A</v>
      </c>
      <c r="F19" t="e">
        <f>VLOOKUP($A19,'A Main Database'!$A:$R,6,0)</f>
        <v>#N/A</v>
      </c>
      <c r="G19" t="e">
        <f>VLOOKUP($A19,'A Main Database'!$A:$R,7,0)</f>
        <v>#N/A</v>
      </c>
      <c r="H19" t="e">
        <f>VLOOKUP($A19,'A Main Database'!$A:$R,8,0)</f>
        <v>#N/A</v>
      </c>
      <c r="I19" t="e">
        <f>VLOOKUP($A19,'A Main Database'!$A:$R,9,0)</f>
        <v>#N/A</v>
      </c>
      <c r="J19" t="e">
        <f>VLOOKUP($A19,'A Main Database'!$A:$R,10,0)</f>
        <v>#N/A</v>
      </c>
      <c r="K19" t="e">
        <f>VLOOKUP($A19,'A Main Database'!$A:$R,11,0)</f>
        <v>#N/A</v>
      </c>
      <c r="L19" t="e">
        <f>VLOOKUP($A19,'A Main Database'!$A:$R,12,0)</f>
        <v>#N/A</v>
      </c>
      <c r="M19" t="e">
        <f>VLOOKUP($A19,'A Main Database'!$A:$R,13,0)</f>
        <v>#N/A</v>
      </c>
      <c r="N19" t="e">
        <f>VLOOKUP($A19,'A Main Database'!$A:$R,14,0)</f>
        <v>#N/A</v>
      </c>
      <c r="O19" t="e">
        <f>VLOOKUP($A19,'A Main Database'!$A:$R,15,0)</f>
        <v>#N/A</v>
      </c>
      <c r="P19" s="6" t="e">
        <f>VLOOKUP($A19,'A Main Database'!$A:$R,16,0)</f>
        <v>#N/A</v>
      </c>
      <c r="Q19" t="e">
        <f>VLOOKUP($A19,'A Main Database'!$A:$R,17,0)</f>
        <v>#N/A</v>
      </c>
      <c r="R19" t="e">
        <f>VLOOKUP($A19,'A Main Database'!$A:$R,18,0)</f>
        <v>#N/A</v>
      </c>
      <c r="S19" t="e">
        <f>VLOOKUP($A19,'A Main Database'!$A:$R,19,0)</f>
        <v>#N/A</v>
      </c>
      <c r="U19" t="e">
        <f>VLOOKUP(B19,'A Main Database'!A:A,1,0)</f>
        <v>#N/A</v>
      </c>
      <c r="V19" t="e">
        <f>VLOOKUP(B19,'A Main Database'!I:I,1,0)</f>
        <v>#N/A</v>
      </c>
      <c r="W19" t="e">
        <f>VLOOKUP(B19,'A Main Database'!M:M,1,0)</f>
        <v>#N/A</v>
      </c>
      <c r="X19" t="e">
        <f>VLOOKUP(B19,'A Main Database'!P:P,1,0)</f>
        <v>#N/A</v>
      </c>
      <c r="Y19" t="s">
        <v>287</v>
      </c>
      <c r="Z19" t="s">
        <v>292</v>
      </c>
      <c r="AA19" t="str">
        <f t="shared" si="1"/>
        <v>https://www.commercialcleaningenindeki.blogspot.com/submit</v>
      </c>
    </row>
    <row r="20" spans="1:27" x14ac:dyDescent="0.25">
      <c r="A20" t="str">
        <f t="shared" si="0"/>
        <v>https://commercialcleaningpersiki.blogspot.com/submit</v>
      </c>
      <c r="B20" t="s">
        <v>123</v>
      </c>
      <c r="C20" s="4" t="e">
        <f>VLOOKUP($A20,'A Main Database'!$A:$R,3,0)</f>
        <v>#N/A</v>
      </c>
      <c r="D20" t="e">
        <f>VLOOKUP($A20,'A Main Database'!$A:$R,4,0)</f>
        <v>#N/A</v>
      </c>
      <c r="E20" t="e">
        <f>VLOOKUP($A20,'A Main Database'!$A:$R,5,0)</f>
        <v>#N/A</v>
      </c>
      <c r="F20" t="e">
        <f>VLOOKUP($A20,'A Main Database'!$A:$R,6,0)</f>
        <v>#N/A</v>
      </c>
      <c r="G20" t="e">
        <f>VLOOKUP($A20,'A Main Database'!$A:$R,7,0)</f>
        <v>#N/A</v>
      </c>
      <c r="H20" t="e">
        <f>VLOOKUP($A20,'A Main Database'!$A:$R,8,0)</f>
        <v>#N/A</v>
      </c>
      <c r="I20" t="e">
        <f>VLOOKUP($A20,'A Main Database'!$A:$R,9,0)</f>
        <v>#N/A</v>
      </c>
      <c r="J20" t="e">
        <f>VLOOKUP($A20,'A Main Database'!$A:$R,10,0)</f>
        <v>#N/A</v>
      </c>
      <c r="K20" t="e">
        <f>VLOOKUP($A20,'A Main Database'!$A:$R,11,0)</f>
        <v>#N/A</v>
      </c>
      <c r="L20" t="e">
        <f>VLOOKUP($A20,'A Main Database'!$A:$R,12,0)</f>
        <v>#N/A</v>
      </c>
      <c r="M20" t="e">
        <f>VLOOKUP($A20,'A Main Database'!$A:$R,13,0)</f>
        <v>#N/A</v>
      </c>
      <c r="N20" t="e">
        <f>VLOOKUP($A20,'A Main Database'!$A:$R,14,0)</f>
        <v>#N/A</v>
      </c>
      <c r="O20" t="e">
        <f>VLOOKUP($A20,'A Main Database'!$A:$R,15,0)</f>
        <v>#N/A</v>
      </c>
      <c r="P20" s="6" t="e">
        <f>VLOOKUP($A20,'A Main Database'!$A:$R,16,0)</f>
        <v>#N/A</v>
      </c>
      <c r="Q20" t="e">
        <f>VLOOKUP($A20,'A Main Database'!$A:$R,17,0)</f>
        <v>#N/A</v>
      </c>
      <c r="R20" t="e">
        <f>VLOOKUP($A20,'A Main Database'!$A:$R,18,0)</f>
        <v>#N/A</v>
      </c>
      <c r="S20" t="e">
        <f>VLOOKUP($A20,'A Main Database'!$A:$R,19,0)</f>
        <v>#N/A</v>
      </c>
      <c r="U20" t="e">
        <f>VLOOKUP(B20,'A Main Database'!A:A,1,0)</f>
        <v>#N/A</v>
      </c>
      <c r="V20" t="e">
        <f>VLOOKUP(B20,'A Main Database'!I:I,1,0)</f>
        <v>#N/A</v>
      </c>
      <c r="W20" t="e">
        <f>VLOOKUP(B20,'A Main Database'!M:M,1,0)</f>
        <v>#N/A</v>
      </c>
      <c r="X20" t="e">
        <f>VLOOKUP(B20,'A Main Database'!P:P,1,0)</f>
        <v>#N/A</v>
      </c>
      <c r="Y20" t="s">
        <v>287</v>
      </c>
      <c r="Z20" t="s">
        <v>292</v>
      </c>
      <c r="AA20" t="str">
        <f t="shared" si="1"/>
        <v>https://commercialcleaningpersiki.blogspot.com/submit</v>
      </c>
    </row>
    <row r="21" spans="1:27" x14ac:dyDescent="0.25">
      <c r="A21" t="str">
        <f t="shared" si="0"/>
        <v>https://commercialcleaningserviceskirosora.blogspot.com/submit</v>
      </c>
      <c r="B21" t="s">
        <v>124</v>
      </c>
      <c r="C21" s="4" t="e">
        <f>VLOOKUP($A21,'A Main Database'!$A:$R,3,0)</f>
        <v>#N/A</v>
      </c>
      <c r="D21" t="e">
        <f>VLOOKUP($A21,'A Main Database'!$A:$R,4,0)</f>
        <v>#N/A</v>
      </c>
      <c r="E21" t="e">
        <f>VLOOKUP($A21,'A Main Database'!$A:$R,5,0)</f>
        <v>#N/A</v>
      </c>
      <c r="F21" t="e">
        <f>VLOOKUP($A21,'A Main Database'!$A:$R,6,0)</f>
        <v>#N/A</v>
      </c>
      <c r="G21" t="e">
        <f>VLOOKUP($A21,'A Main Database'!$A:$R,7,0)</f>
        <v>#N/A</v>
      </c>
      <c r="H21" t="e">
        <f>VLOOKUP($A21,'A Main Database'!$A:$R,8,0)</f>
        <v>#N/A</v>
      </c>
      <c r="I21" t="e">
        <f>VLOOKUP($A21,'A Main Database'!$A:$R,9,0)</f>
        <v>#N/A</v>
      </c>
      <c r="J21" t="e">
        <f>VLOOKUP($A21,'A Main Database'!$A:$R,10,0)</f>
        <v>#N/A</v>
      </c>
      <c r="K21" t="e">
        <f>VLOOKUP($A21,'A Main Database'!$A:$R,11,0)</f>
        <v>#N/A</v>
      </c>
      <c r="L21" t="e">
        <f>VLOOKUP($A21,'A Main Database'!$A:$R,12,0)</f>
        <v>#N/A</v>
      </c>
      <c r="M21" t="e">
        <f>VLOOKUP($A21,'A Main Database'!$A:$R,13,0)</f>
        <v>#N/A</v>
      </c>
      <c r="N21" t="e">
        <f>VLOOKUP($A21,'A Main Database'!$A:$R,14,0)</f>
        <v>#N/A</v>
      </c>
      <c r="O21" t="e">
        <f>VLOOKUP($A21,'A Main Database'!$A:$R,15,0)</f>
        <v>#N/A</v>
      </c>
      <c r="P21" s="6" t="e">
        <f>VLOOKUP($A21,'A Main Database'!$A:$R,16,0)</f>
        <v>#N/A</v>
      </c>
      <c r="Q21" t="e">
        <f>VLOOKUP($A21,'A Main Database'!$A:$R,17,0)</f>
        <v>#N/A</v>
      </c>
      <c r="R21" t="e">
        <f>VLOOKUP($A21,'A Main Database'!$A:$R,18,0)</f>
        <v>#N/A</v>
      </c>
      <c r="S21" t="e">
        <f>VLOOKUP($A21,'A Main Database'!$A:$R,19,0)</f>
        <v>#N/A</v>
      </c>
      <c r="U21" t="e">
        <f>VLOOKUP(B21,'A Main Database'!A:A,1,0)</f>
        <v>#N/A</v>
      </c>
      <c r="V21" t="e">
        <f>VLOOKUP(B21,'A Main Database'!I:I,1,0)</f>
        <v>#N/A</v>
      </c>
      <c r="W21" t="e">
        <f>VLOOKUP(B21,'A Main Database'!M:M,1,0)</f>
        <v>#N/A</v>
      </c>
      <c r="X21" t="e">
        <f>VLOOKUP(B21,'A Main Database'!P:P,1,0)</f>
        <v>#N/A</v>
      </c>
      <c r="Y21" t="s">
        <v>287</v>
      </c>
      <c r="Z21" t="s">
        <v>292</v>
      </c>
      <c r="AA21" t="str">
        <f t="shared" si="1"/>
        <v>https://commercialcleaningserviceskirosora.blogspot.com/submit</v>
      </c>
    </row>
    <row r="22" spans="1:27" x14ac:dyDescent="0.25">
      <c r="A22" t="str">
        <f t="shared" si="0"/>
        <v>https://www.commercialconstructionfumihogo.blogspot.com/submit</v>
      </c>
      <c r="B22" t="s">
        <v>125</v>
      </c>
      <c r="C22" s="4" t="e">
        <f>VLOOKUP($A22,'A Main Database'!$A:$R,3,0)</f>
        <v>#N/A</v>
      </c>
      <c r="D22" t="e">
        <f>VLOOKUP($A22,'A Main Database'!$A:$R,4,0)</f>
        <v>#N/A</v>
      </c>
      <c r="E22" t="e">
        <f>VLOOKUP($A22,'A Main Database'!$A:$R,5,0)</f>
        <v>#N/A</v>
      </c>
      <c r="F22" t="e">
        <f>VLOOKUP($A22,'A Main Database'!$A:$R,6,0)</f>
        <v>#N/A</v>
      </c>
      <c r="G22" t="e">
        <f>VLOOKUP($A22,'A Main Database'!$A:$R,7,0)</f>
        <v>#N/A</v>
      </c>
      <c r="H22" t="e">
        <f>VLOOKUP($A22,'A Main Database'!$A:$R,8,0)</f>
        <v>#N/A</v>
      </c>
      <c r="I22" t="e">
        <f>VLOOKUP($A22,'A Main Database'!$A:$R,9,0)</f>
        <v>#N/A</v>
      </c>
      <c r="J22" t="e">
        <f>VLOOKUP($A22,'A Main Database'!$A:$R,10,0)</f>
        <v>#N/A</v>
      </c>
      <c r="K22" t="e">
        <f>VLOOKUP($A22,'A Main Database'!$A:$R,11,0)</f>
        <v>#N/A</v>
      </c>
      <c r="L22" t="e">
        <f>VLOOKUP($A22,'A Main Database'!$A:$R,12,0)</f>
        <v>#N/A</v>
      </c>
      <c r="M22" t="e">
        <f>VLOOKUP($A22,'A Main Database'!$A:$R,13,0)</f>
        <v>#N/A</v>
      </c>
      <c r="N22" t="e">
        <f>VLOOKUP($A22,'A Main Database'!$A:$R,14,0)</f>
        <v>#N/A</v>
      </c>
      <c r="O22" t="e">
        <f>VLOOKUP($A22,'A Main Database'!$A:$R,15,0)</f>
        <v>#N/A</v>
      </c>
      <c r="P22" s="6" t="e">
        <f>VLOOKUP($A22,'A Main Database'!$A:$R,16,0)</f>
        <v>#N/A</v>
      </c>
      <c r="Q22" t="e">
        <f>VLOOKUP($A22,'A Main Database'!$A:$R,17,0)</f>
        <v>#N/A</v>
      </c>
      <c r="R22" t="e">
        <f>VLOOKUP($A22,'A Main Database'!$A:$R,18,0)</f>
        <v>#N/A</v>
      </c>
      <c r="S22" t="e">
        <f>VLOOKUP($A22,'A Main Database'!$A:$R,19,0)</f>
        <v>#N/A</v>
      </c>
      <c r="U22" t="e">
        <f>VLOOKUP(B22,'A Main Database'!A:A,1,0)</f>
        <v>#N/A</v>
      </c>
      <c r="V22" t="e">
        <f>VLOOKUP(B22,'A Main Database'!I:I,1,0)</f>
        <v>#N/A</v>
      </c>
      <c r="W22" t="e">
        <f>VLOOKUP(B22,'A Main Database'!M:M,1,0)</f>
        <v>#N/A</v>
      </c>
      <c r="X22" t="e">
        <f>VLOOKUP(B22,'A Main Database'!P:P,1,0)</f>
        <v>#N/A</v>
      </c>
      <c r="Y22" t="s">
        <v>287</v>
      </c>
      <c r="Z22" t="s">
        <v>292</v>
      </c>
      <c r="AA22" t="str">
        <f t="shared" si="1"/>
        <v>https://www.commercialconstructionfumihogo.blogspot.com/submit</v>
      </c>
    </row>
    <row r="23" spans="1:27" x14ac:dyDescent="0.25">
      <c r="A23" t="str">
        <f t="shared" si="0"/>
        <v>http://companyontop.com/submit</v>
      </c>
      <c r="B23" t="s">
        <v>126</v>
      </c>
      <c r="C23" s="4" t="e">
        <f>VLOOKUP($A23,'A Main Database'!$A:$R,3,0)</f>
        <v>#N/A</v>
      </c>
      <c r="D23" t="e">
        <f>VLOOKUP($A23,'A Main Database'!$A:$R,4,0)</f>
        <v>#N/A</v>
      </c>
      <c r="E23" t="e">
        <f>VLOOKUP($A23,'A Main Database'!$A:$R,5,0)</f>
        <v>#N/A</v>
      </c>
      <c r="F23" t="e">
        <f>VLOOKUP($A23,'A Main Database'!$A:$R,6,0)</f>
        <v>#N/A</v>
      </c>
      <c r="G23" t="e">
        <f>VLOOKUP($A23,'A Main Database'!$A:$R,7,0)</f>
        <v>#N/A</v>
      </c>
      <c r="H23" t="e">
        <f>VLOOKUP($A23,'A Main Database'!$A:$R,8,0)</f>
        <v>#N/A</v>
      </c>
      <c r="I23" t="e">
        <f>VLOOKUP($A23,'A Main Database'!$A:$R,9,0)</f>
        <v>#N/A</v>
      </c>
      <c r="J23" t="e">
        <f>VLOOKUP($A23,'A Main Database'!$A:$R,10,0)</f>
        <v>#N/A</v>
      </c>
      <c r="K23" t="e">
        <f>VLOOKUP($A23,'A Main Database'!$A:$R,11,0)</f>
        <v>#N/A</v>
      </c>
      <c r="L23" t="e">
        <f>VLOOKUP($A23,'A Main Database'!$A:$R,12,0)</f>
        <v>#N/A</v>
      </c>
      <c r="M23" t="e">
        <f>VLOOKUP($A23,'A Main Database'!$A:$R,13,0)</f>
        <v>#N/A</v>
      </c>
      <c r="N23" t="e">
        <f>VLOOKUP($A23,'A Main Database'!$A:$R,14,0)</f>
        <v>#N/A</v>
      </c>
      <c r="O23" t="e">
        <f>VLOOKUP($A23,'A Main Database'!$A:$R,15,0)</f>
        <v>#N/A</v>
      </c>
      <c r="P23" s="6" t="e">
        <f>VLOOKUP($A23,'A Main Database'!$A:$R,16,0)</f>
        <v>#N/A</v>
      </c>
      <c r="Q23" t="e">
        <f>VLOOKUP($A23,'A Main Database'!$A:$R,17,0)</f>
        <v>#N/A</v>
      </c>
      <c r="R23" t="e">
        <f>VLOOKUP($A23,'A Main Database'!$A:$R,18,0)</f>
        <v>#N/A</v>
      </c>
      <c r="S23" t="e">
        <f>VLOOKUP($A23,'A Main Database'!$A:$R,19,0)</f>
        <v>#N/A</v>
      </c>
      <c r="U23" t="e">
        <f>VLOOKUP(B23,'A Main Database'!A:A,1,0)</f>
        <v>#N/A</v>
      </c>
      <c r="V23" t="e">
        <f>VLOOKUP(B23,'A Main Database'!I:I,1,0)</f>
        <v>#N/A</v>
      </c>
      <c r="W23" t="e">
        <f>VLOOKUP(B23,'A Main Database'!M:M,1,0)</f>
        <v>#N/A</v>
      </c>
      <c r="X23" t="e">
        <f>VLOOKUP(B23,'A Main Database'!P:P,1,0)</f>
        <v>#N/A</v>
      </c>
      <c r="Y23" t="s">
        <v>287</v>
      </c>
      <c r="Z23" t="s">
        <v>292</v>
      </c>
      <c r="AA23" t="str">
        <f t="shared" si="1"/>
        <v>http://companyontop.com/submit</v>
      </c>
    </row>
    <row r="24" spans="1:27" x14ac:dyDescent="0.25">
      <c r="A24" t="str">
        <f t="shared" si="0"/>
        <v>www.constructionjobmoinpa.blogspot.com/submit</v>
      </c>
      <c r="B24" t="s">
        <v>127</v>
      </c>
      <c r="C24" s="4" t="e">
        <f>VLOOKUP($A24,'A Main Database'!$A:$R,3,0)</f>
        <v>#N/A</v>
      </c>
      <c r="D24" t="e">
        <f>VLOOKUP($A24,'A Main Database'!$A:$R,4,0)</f>
        <v>#N/A</v>
      </c>
      <c r="E24" t="e">
        <f>VLOOKUP($A24,'A Main Database'!$A:$R,5,0)</f>
        <v>#N/A</v>
      </c>
      <c r="F24" t="e">
        <f>VLOOKUP($A24,'A Main Database'!$A:$R,6,0)</f>
        <v>#N/A</v>
      </c>
      <c r="G24" t="e">
        <f>VLOOKUP($A24,'A Main Database'!$A:$R,7,0)</f>
        <v>#N/A</v>
      </c>
      <c r="H24" t="e">
        <f>VLOOKUP($A24,'A Main Database'!$A:$R,8,0)</f>
        <v>#N/A</v>
      </c>
      <c r="I24" t="e">
        <f>VLOOKUP($A24,'A Main Database'!$A:$R,9,0)</f>
        <v>#N/A</v>
      </c>
      <c r="J24" t="e">
        <f>VLOOKUP($A24,'A Main Database'!$A:$R,10,0)</f>
        <v>#N/A</v>
      </c>
      <c r="K24" t="e">
        <f>VLOOKUP($A24,'A Main Database'!$A:$R,11,0)</f>
        <v>#N/A</v>
      </c>
      <c r="L24" t="e">
        <f>VLOOKUP($A24,'A Main Database'!$A:$R,12,0)</f>
        <v>#N/A</v>
      </c>
      <c r="M24" t="e">
        <f>VLOOKUP($A24,'A Main Database'!$A:$R,13,0)</f>
        <v>#N/A</v>
      </c>
      <c r="N24" t="e">
        <f>VLOOKUP($A24,'A Main Database'!$A:$R,14,0)</f>
        <v>#N/A</v>
      </c>
      <c r="O24" t="e">
        <f>VLOOKUP($A24,'A Main Database'!$A:$R,15,0)</f>
        <v>#N/A</v>
      </c>
      <c r="P24" s="6" t="e">
        <f>VLOOKUP($A24,'A Main Database'!$A:$R,16,0)</f>
        <v>#N/A</v>
      </c>
      <c r="Q24" t="e">
        <f>VLOOKUP($A24,'A Main Database'!$A:$R,17,0)</f>
        <v>#N/A</v>
      </c>
      <c r="R24" t="e">
        <f>VLOOKUP($A24,'A Main Database'!$A:$R,18,0)</f>
        <v>#N/A</v>
      </c>
      <c r="S24" t="e">
        <f>VLOOKUP($A24,'A Main Database'!$A:$R,19,0)</f>
        <v>#N/A</v>
      </c>
      <c r="U24" t="e">
        <f>VLOOKUP(B24,'A Main Database'!A:A,1,0)</f>
        <v>#N/A</v>
      </c>
      <c r="V24" t="e">
        <f>VLOOKUP(B24,'A Main Database'!I:I,1,0)</f>
        <v>#N/A</v>
      </c>
      <c r="W24" t="e">
        <f>VLOOKUP(B24,'A Main Database'!M:M,1,0)</f>
        <v>#N/A</v>
      </c>
      <c r="X24" t="e">
        <f>VLOOKUP(B24,'A Main Database'!P:P,1,0)</f>
        <v>#N/A</v>
      </c>
      <c r="Y24" t="s">
        <v>287</v>
      </c>
      <c r="Z24" t="s">
        <v>292</v>
      </c>
      <c r="AA24" t="str">
        <f t="shared" si="1"/>
        <v>www.constructionjobmoinpa.blogspot.com/submit</v>
      </c>
    </row>
    <row r="25" spans="1:27" x14ac:dyDescent="0.25">
      <c r="A25" t="str">
        <f t="shared" si="0"/>
        <v>dirpopulus.org/submit</v>
      </c>
      <c r="B25" t="s">
        <v>39</v>
      </c>
      <c r="C25" s="4" t="e">
        <f>VLOOKUP($A25,'A Main Database'!$A:$R,3,0)</f>
        <v>#N/A</v>
      </c>
      <c r="D25" t="e">
        <f>VLOOKUP($A25,'A Main Database'!$A:$R,4,0)</f>
        <v>#N/A</v>
      </c>
      <c r="E25" t="e">
        <f>VLOOKUP($A25,'A Main Database'!$A:$R,5,0)</f>
        <v>#N/A</v>
      </c>
      <c r="F25" t="e">
        <f>VLOOKUP($A25,'A Main Database'!$A:$R,6,0)</f>
        <v>#N/A</v>
      </c>
      <c r="G25" t="e">
        <f>VLOOKUP($A25,'A Main Database'!$A:$R,7,0)</f>
        <v>#N/A</v>
      </c>
      <c r="H25" t="e">
        <f>VLOOKUP($A25,'A Main Database'!$A:$R,8,0)</f>
        <v>#N/A</v>
      </c>
      <c r="I25" t="e">
        <f>VLOOKUP($A25,'A Main Database'!$A:$R,9,0)</f>
        <v>#N/A</v>
      </c>
      <c r="J25" t="e">
        <f>VLOOKUP($A25,'A Main Database'!$A:$R,10,0)</f>
        <v>#N/A</v>
      </c>
      <c r="K25" t="e">
        <f>VLOOKUP($A25,'A Main Database'!$A:$R,11,0)</f>
        <v>#N/A</v>
      </c>
      <c r="L25" t="e">
        <f>VLOOKUP($A25,'A Main Database'!$A:$R,12,0)</f>
        <v>#N/A</v>
      </c>
      <c r="M25" t="e">
        <f>VLOOKUP($A25,'A Main Database'!$A:$R,13,0)</f>
        <v>#N/A</v>
      </c>
      <c r="N25" t="e">
        <f>VLOOKUP($A25,'A Main Database'!$A:$R,14,0)</f>
        <v>#N/A</v>
      </c>
      <c r="O25" t="e">
        <f>VLOOKUP($A25,'A Main Database'!$A:$R,15,0)</f>
        <v>#N/A</v>
      </c>
      <c r="P25" s="6" t="e">
        <f>VLOOKUP($A25,'A Main Database'!$A:$R,16,0)</f>
        <v>#N/A</v>
      </c>
      <c r="Q25" t="e">
        <f>VLOOKUP($A25,'A Main Database'!$A:$R,17,0)</f>
        <v>#N/A</v>
      </c>
      <c r="R25" t="e">
        <f>VLOOKUP($A25,'A Main Database'!$A:$R,18,0)</f>
        <v>#N/A</v>
      </c>
      <c r="S25" t="e">
        <f>VLOOKUP($A25,'A Main Database'!$A:$R,19,0)</f>
        <v>#N/A</v>
      </c>
      <c r="U25" t="str">
        <f>VLOOKUP(B25,'A Main Database'!A:A,1,0)</f>
        <v>dirpopulus.org</v>
      </c>
      <c r="V25" t="e">
        <f>VLOOKUP(B25,'A Main Database'!I:I,1,0)</f>
        <v>#N/A</v>
      </c>
      <c r="W25" t="e">
        <f>VLOOKUP(B25,'A Main Database'!M:M,1,0)</f>
        <v>#N/A</v>
      </c>
      <c r="X25" t="e">
        <f>VLOOKUP(B25,'A Main Database'!P:P,1,0)</f>
        <v>#N/A</v>
      </c>
      <c r="Y25" t="s">
        <v>128</v>
      </c>
      <c r="Z25" t="s">
        <v>292</v>
      </c>
      <c r="AA25" t="str">
        <f t="shared" si="1"/>
        <v>dirpopulus.org/submit</v>
      </c>
    </row>
    <row r="26" spans="1:27" x14ac:dyDescent="0.25">
      <c r="A26" t="str">
        <f t="shared" si="0"/>
        <v>firstfollower.com/submit</v>
      </c>
      <c r="B26" t="s">
        <v>40</v>
      </c>
      <c r="C26" s="4" t="e">
        <f>VLOOKUP($A26,'A Main Database'!$A:$R,3,0)</f>
        <v>#N/A</v>
      </c>
      <c r="D26" t="e">
        <f>VLOOKUP($A26,'A Main Database'!$A:$R,4,0)</f>
        <v>#N/A</v>
      </c>
      <c r="E26" t="e">
        <f>VLOOKUP($A26,'A Main Database'!$A:$R,5,0)</f>
        <v>#N/A</v>
      </c>
      <c r="F26" t="e">
        <f>VLOOKUP($A26,'A Main Database'!$A:$R,6,0)</f>
        <v>#N/A</v>
      </c>
      <c r="G26" t="e">
        <f>VLOOKUP($A26,'A Main Database'!$A:$R,7,0)</f>
        <v>#N/A</v>
      </c>
      <c r="H26" t="e">
        <f>VLOOKUP($A26,'A Main Database'!$A:$R,8,0)</f>
        <v>#N/A</v>
      </c>
      <c r="I26" t="e">
        <f>VLOOKUP($A26,'A Main Database'!$A:$R,9,0)</f>
        <v>#N/A</v>
      </c>
      <c r="J26" t="e">
        <f>VLOOKUP($A26,'A Main Database'!$A:$R,10,0)</f>
        <v>#N/A</v>
      </c>
      <c r="K26" t="e">
        <f>VLOOKUP($A26,'A Main Database'!$A:$R,11,0)</f>
        <v>#N/A</v>
      </c>
      <c r="L26" t="e">
        <f>VLOOKUP($A26,'A Main Database'!$A:$R,12,0)</f>
        <v>#N/A</v>
      </c>
      <c r="M26" t="e">
        <f>VLOOKUP($A26,'A Main Database'!$A:$R,13,0)</f>
        <v>#N/A</v>
      </c>
      <c r="N26" t="e">
        <f>VLOOKUP($A26,'A Main Database'!$A:$R,14,0)</f>
        <v>#N/A</v>
      </c>
      <c r="O26" t="e">
        <f>VLOOKUP($A26,'A Main Database'!$A:$R,15,0)</f>
        <v>#N/A</v>
      </c>
      <c r="P26" s="6" t="e">
        <f>VLOOKUP($A26,'A Main Database'!$A:$R,16,0)</f>
        <v>#N/A</v>
      </c>
      <c r="Q26" t="e">
        <f>VLOOKUP($A26,'A Main Database'!$A:$R,17,0)</f>
        <v>#N/A</v>
      </c>
      <c r="R26" t="e">
        <f>VLOOKUP($A26,'A Main Database'!$A:$R,18,0)</f>
        <v>#N/A</v>
      </c>
      <c r="S26" t="e">
        <f>VLOOKUP($A26,'A Main Database'!$A:$R,19,0)</f>
        <v>#N/A</v>
      </c>
      <c r="U26" t="str">
        <f>VLOOKUP(B26,'A Main Database'!A:A,1,0)</f>
        <v>firstfollower.com</v>
      </c>
      <c r="V26" t="e">
        <f>VLOOKUP(B26,'A Main Database'!I:I,1,0)</f>
        <v>#N/A</v>
      </c>
      <c r="W26" t="e">
        <f>VLOOKUP(B26,'A Main Database'!M:M,1,0)</f>
        <v>#N/A</v>
      </c>
      <c r="X26" t="e">
        <f>VLOOKUP(B26,'A Main Database'!P:P,1,0)</f>
        <v>#N/A</v>
      </c>
      <c r="Y26" t="s">
        <v>128</v>
      </c>
      <c r="Z26" t="s">
        <v>292</v>
      </c>
      <c r="AA26" t="str">
        <f t="shared" si="1"/>
        <v>firstfollower.com/submit</v>
      </c>
    </row>
    <row r="27" spans="1:27" x14ac:dyDescent="0.25">
      <c r="A27" t="str">
        <f t="shared" si="0"/>
        <v>housecleaningbester.blogspot.com/submit</v>
      </c>
      <c r="B27" t="s">
        <v>41</v>
      </c>
      <c r="C27" s="4" t="e">
        <f>VLOOKUP($A27,'A Main Database'!$A:$R,3,0)</f>
        <v>#N/A</v>
      </c>
      <c r="D27" t="e">
        <f>VLOOKUP($A27,'A Main Database'!$A:$R,4,0)</f>
        <v>#N/A</v>
      </c>
      <c r="E27" t="e">
        <f>VLOOKUP($A27,'A Main Database'!$A:$R,5,0)</f>
        <v>#N/A</v>
      </c>
      <c r="F27" t="e">
        <f>VLOOKUP($A27,'A Main Database'!$A:$R,6,0)</f>
        <v>#N/A</v>
      </c>
      <c r="G27" t="e">
        <f>VLOOKUP($A27,'A Main Database'!$A:$R,7,0)</f>
        <v>#N/A</v>
      </c>
      <c r="H27" t="e">
        <f>VLOOKUP($A27,'A Main Database'!$A:$R,8,0)</f>
        <v>#N/A</v>
      </c>
      <c r="I27" t="e">
        <f>VLOOKUP($A27,'A Main Database'!$A:$R,9,0)</f>
        <v>#N/A</v>
      </c>
      <c r="J27" t="e">
        <f>VLOOKUP($A27,'A Main Database'!$A:$R,10,0)</f>
        <v>#N/A</v>
      </c>
      <c r="K27" t="e">
        <f>VLOOKUP($A27,'A Main Database'!$A:$R,11,0)</f>
        <v>#N/A</v>
      </c>
      <c r="L27" t="e">
        <f>VLOOKUP($A27,'A Main Database'!$A:$R,12,0)</f>
        <v>#N/A</v>
      </c>
      <c r="M27" t="e">
        <f>VLOOKUP($A27,'A Main Database'!$A:$R,13,0)</f>
        <v>#N/A</v>
      </c>
      <c r="N27" t="e">
        <f>VLOOKUP($A27,'A Main Database'!$A:$R,14,0)</f>
        <v>#N/A</v>
      </c>
      <c r="O27" t="e">
        <f>VLOOKUP($A27,'A Main Database'!$A:$R,15,0)</f>
        <v>#N/A</v>
      </c>
      <c r="P27" s="6" t="e">
        <f>VLOOKUP($A27,'A Main Database'!$A:$R,16,0)</f>
        <v>#N/A</v>
      </c>
      <c r="Q27" t="e">
        <f>VLOOKUP($A27,'A Main Database'!$A:$R,17,0)</f>
        <v>#N/A</v>
      </c>
      <c r="R27" t="e">
        <f>VLOOKUP($A27,'A Main Database'!$A:$R,18,0)</f>
        <v>#N/A</v>
      </c>
      <c r="S27" t="e">
        <f>VLOOKUP($A27,'A Main Database'!$A:$R,19,0)</f>
        <v>#N/A</v>
      </c>
      <c r="U27" t="str">
        <f>VLOOKUP(B27,'A Main Database'!A:A,1,0)</f>
        <v>housecleaningbester.blogspot.com</v>
      </c>
      <c r="V27" t="e">
        <f>VLOOKUP(B27,'A Main Database'!I:I,1,0)</f>
        <v>#N/A</v>
      </c>
      <c r="W27" t="e">
        <f>VLOOKUP(B27,'A Main Database'!M:M,1,0)</f>
        <v>#N/A</v>
      </c>
      <c r="X27" t="e">
        <f>VLOOKUP(B27,'A Main Database'!P:P,1,0)</f>
        <v>#N/A</v>
      </c>
      <c r="Y27" t="s">
        <v>128</v>
      </c>
      <c r="Z27" t="s">
        <v>292</v>
      </c>
      <c r="AA27" t="str">
        <f t="shared" si="1"/>
        <v>housecleaningbester.blogspot.com/submit</v>
      </c>
    </row>
    <row r="28" spans="1:27" x14ac:dyDescent="0.25">
      <c r="A28" t="str">
        <f t="shared" si="0"/>
        <v>iik.nebocom.press/submit</v>
      </c>
      <c r="B28" t="s">
        <v>92</v>
      </c>
      <c r="C28" s="4" t="e">
        <f>VLOOKUP($A28,'A Main Database'!$A:$R,3,0)</f>
        <v>#N/A</v>
      </c>
      <c r="D28" t="e">
        <f>VLOOKUP($A28,'A Main Database'!$A:$R,4,0)</f>
        <v>#N/A</v>
      </c>
      <c r="E28" t="e">
        <f>VLOOKUP($A28,'A Main Database'!$A:$R,5,0)</f>
        <v>#N/A</v>
      </c>
      <c r="F28" t="e">
        <f>VLOOKUP($A28,'A Main Database'!$A:$R,6,0)</f>
        <v>#N/A</v>
      </c>
      <c r="G28" t="e">
        <f>VLOOKUP($A28,'A Main Database'!$A:$R,7,0)</f>
        <v>#N/A</v>
      </c>
      <c r="H28" t="e">
        <f>VLOOKUP($A28,'A Main Database'!$A:$R,8,0)</f>
        <v>#N/A</v>
      </c>
      <c r="I28" t="e">
        <f>VLOOKUP($A28,'A Main Database'!$A:$R,9,0)</f>
        <v>#N/A</v>
      </c>
      <c r="J28" t="e">
        <f>VLOOKUP($A28,'A Main Database'!$A:$R,10,0)</f>
        <v>#N/A</v>
      </c>
      <c r="K28" t="e">
        <f>VLOOKUP($A28,'A Main Database'!$A:$R,11,0)</f>
        <v>#N/A</v>
      </c>
      <c r="L28" t="e">
        <f>VLOOKUP($A28,'A Main Database'!$A:$R,12,0)</f>
        <v>#N/A</v>
      </c>
      <c r="M28" t="e">
        <f>VLOOKUP($A28,'A Main Database'!$A:$R,13,0)</f>
        <v>#N/A</v>
      </c>
      <c r="N28" t="e">
        <f>VLOOKUP($A28,'A Main Database'!$A:$R,14,0)</f>
        <v>#N/A</v>
      </c>
      <c r="O28" t="e">
        <f>VLOOKUP($A28,'A Main Database'!$A:$R,15,0)</f>
        <v>#N/A</v>
      </c>
      <c r="P28" s="6" t="e">
        <f>VLOOKUP($A28,'A Main Database'!$A:$R,16,0)</f>
        <v>#N/A</v>
      </c>
      <c r="Q28" t="e">
        <f>VLOOKUP($A28,'A Main Database'!$A:$R,17,0)</f>
        <v>#N/A</v>
      </c>
      <c r="R28" t="e">
        <f>VLOOKUP($A28,'A Main Database'!$A:$R,18,0)</f>
        <v>#N/A</v>
      </c>
      <c r="S28" t="e">
        <f>VLOOKUP($A28,'A Main Database'!$A:$R,19,0)</f>
        <v>#N/A</v>
      </c>
      <c r="U28" t="e">
        <f>VLOOKUP(B28,'A Main Database'!A:A,1,0)</f>
        <v>#N/A</v>
      </c>
      <c r="V28" t="e">
        <f>VLOOKUP(B28,'A Main Database'!I:I,1,0)</f>
        <v>#N/A</v>
      </c>
      <c r="W28" t="e">
        <f>VLOOKUP(B28,'A Main Database'!M:M,1,0)</f>
        <v>#N/A</v>
      </c>
      <c r="X28" t="e">
        <f>VLOOKUP(B28,'A Main Database'!P:P,1,0)</f>
        <v>#N/A</v>
      </c>
      <c r="Y28" t="s">
        <v>287</v>
      </c>
      <c r="Z28" t="s">
        <v>292</v>
      </c>
      <c r="AA28" t="str">
        <f t="shared" si="1"/>
        <v>iik.nebocom.press/submit</v>
      </c>
    </row>
    <row r="29" spans="1:27" x14ac:dyDescent="0.25">
      <c r="A29" t="str">
        <f t="shared" si="0"/>
        <v>listingsca.com/submit</v>
      </c>
      <c r="B29" t="s">
        <v>43</v>
      </c>
      <c r="C29" s="4" t="e">
        <f>VLOOKUP($A29,'A Main Database'!$A:$R,3,0)</f>
        <v>#N/A</v>
      </c>
      <c r="D29" t="e">
        <f>VLOOKUP($A29,'A Main Database'!$A:$R,4,0)</f>
        <v>#N/A</v>
      </c>
      <c r="E29" t="e">
        <f>VLOOKUP($A29,'A Main Database'!$A:$R,5,0)</f>
        <v>#N/A</v>
      </c>
      <c r="F29" t="e">
        <f>VLOOKUP($A29,'A Main Database'!$A:$R,6,0)</f>
        <v>#N/A</v>
      </c>
      <c r="G29" t="e">
        <f>VLOOKUP($A29,'A Main Database'!$A:$R,7,0)</f>
        <v>#N/A</v>
      </c>
      <c r="H29" t="e">
        <f>VLOOKUP($A29,'A Main Database'!$A:$R,8,0)</f>
        <v>#N/A</v>
      </c>
      <c r="I29" t="e">
        <f>VLOOKUP($A29,'A Main Database'!$A:$R,9,0)</f>
        <v>#N/A</v>
      </c>
      <c r="J29" t="e">
        <f>VLOOKUP($A29,'A Main Database'!$A:$R,10,0)</f>
        <v>#N/A</v>
      </c>
      <c r="K29" t="e">
        <f>VLOOKUP($A29,'A Main Database'!$A:$R,11,0)</f>
        <v>#N/A</v>
      </c>
      <c r="L29" t="e">
        <f>VLOOKUP($A29,'A Main Database'!$A:$R,12,0)</f>
        <v>#N/A</v>
      </c>
      <c r="M29" t="e">
        <f>VLOOKUP($A29,'A Main Database'!$A:$R,13,0)</f>
        <v>#N/A</v>
      </c>
      <c r="N29" t="e">
        <f>VLOOKUP($A29,'A Main Database'!$A:$R,14,0)</f>
        <v>#N/A</v>
      </c>
      <c r="O29" t="e">
        <f>VLOOKUP($A29,'A Main Database'!$A:$R,15,0)</f>
        <v>#N/A</v>
      </c>
      <c r="P29" s="6" t="e">
        <f>VLOOKUP($A29,'A Main Database'!$A:$R,16,0)</f>
        <v>#N/A</v>
      </c>
      <c r="Q29" t="e">
        <f>VLOOKUP($A29,'A Main Database'!$A:$R,17,0)</f>
        <v>#N/A</v>
      </c>
      <c r="R29" t="e">
        <f>VLOOKUP($A29,'A Main Database'!$A:$R,18,0)</f>
        <v>#N/A</v>
      </c>
      <c r="S29" t="e">
        <f>VLOOKUP($A29,'A Main Database'!$A:$R,19,0)</f>
        <v>#N/A</v>
      </c>
      <c r="U29" t="str">
        <f>VLOOKUP(B29,'A Main Database'!A:A,1,0)</f>
        <v>listingsca.com</v>
      </c>
      <c r="V29" t="e">
        <f>VLOOKUP(B29,'A Main Database'!I:I,1,0)</f>
        <v>#N/A</v>
      </c>
      <c r="W29" t="e">
        <f>VLOOKUP(B29,'A Main Database'!M:M,1,0)</f>
        <v>#N/A</v>
      </c>
      <c r="X29" t="e">
        <f>VLOOKUP(B29,'A Main Database'!P:P,1,0)</f>
        <v>#N/A</v>
      </c>
      <c r="Y29" t="s">
        <v>128</v>
      </c>
      <c r="Z29" t="s">
        <v>292</v>
      </c>
      <c r="AA29" t="str">
        <f t="shared" si="1"/>
        <v>listingsca.com/submit</v>
      </c>
    </row>
    <row r="30" spans="1:27" x14ac:dyDescent="0.25">
      <c r="A30" t="str">
        <f t="shared" si="0"/>
        <v>mbicorp.ca/submit</v>
      </c>
      <c r="B30" t="s">
        <v>44</v>
      </c>
      <c r="C30" s="4" t="e">
        <f>VLOOKUP($A30,'A Main Database'!$A:$R,3,0)</f>
        <v>#N/A</v>
      </c>
      <c r="D30" t="e">
        <f>VLOOKUP($A30,'A Main Database'!$A:$R,4,0)</f>
        <v>#N/A</v>
      </c>
      <c r="E30" t="e">
        <f>VLOOKUP($A30,'A Main Database'!$A:$R,5,0)</f>
        <v>#N/A</v>
      </c>
      <c r="F30" t="e">
        <f>VLOOKUP($A30,'A Main Database'!$A:$R,6,0)</f>
        <v>#N/A</v>
      </c>
      <c r="G30" t="e">
        <f>VLOOKUP($A30,'A Main Database'!$A:$R,7,0)</f>
        <v>#N/A</v>
      </c>
      <c r="H30" t="e">
        <f>VLOOKUP($A30,'A Main Database'!$A:$R,8,0)</f>
        <v>#N/A</v>
      </c>
      <c r="I30" t="e">
        <f>VLOOKUP($A30,'A Main Database'!$A:$R,9,0)</f>
        <v>#N/A</v>
      </c>
      <c r="J30" t="e">
        <f>VLOOKUP($A30,'A Main Database'!$A:$R,10,0)</f>
        <v>#N/A</v>
      </c>
      <c r="K30" t="e">
        <f>VLOOKUP($A30,'A Main Database'!$A:$R,11,0)</f>
        <v>#N/A</v>
      </c>
      <c r="L30" t="e">
        <f>VLOOKUP($A30,'A Main Database'!$A:$R,12,0)</f>
        <v>#N/A</v>
      </c>
      <c r="M30" t="e">
        <f>VLOOKUP($A30,'A Main Database'!$A:$R,13,0)</f>
        <v>#N/A</v>
      </c>
      <c r="N30" t="e">
        <f>VLOOKUP($A30,'A Main Database'!$A:$R,14,0)</f>
        <v>#N/A</v>
      </c>
      <c r="O30" t="e">
        <f>VLOOKUP($A30,'A Main Database'!$A:$R,15,0)</f>
        <v>#N/A</v>
      </c>
      <c r="P30" s="6" t="e">
        <f>VLOOKUP($A30,'A Main Database'!$A:$R,16,0)</f>
        <v>#N/A</v>
      </c>
      <c r="Q30" t="e">
        <f>VLOOKUP($A30,'A Main Database'!$A:$R,17,0)</f>
        <v>#N/A</v>
      </c>
      <c r="R30" t="e">
        <f>VLOOKUP($A30,'A Main Database'!$A:$R,18,0)</f>
        <v>#N/A</v>
      </c>
      <c r="S30" t="e">
        <f>VLOOKUP($A30,'A Main Database'!$A:$R,19,0)</f>
        <v>#N/A</v>
      </c>
      <c r="U30" t="str">
        <f>VLOOKUP(B30,'A Main Database'!A:A,1,0)</f>
        <v>mbicorp.ca</v>
      </c>
      <c r="V30" t="e">
        <f>VLOOKUP(B30,'A Main Database'!I:I,1,0)</f>
        <v>#N/A</v>
      </c>
      <c r="W30" t="e">
        <f>VLOOKUP(B30,'A Main Database'!M:M,1,0)</f>
        <v>#N/A</v>
      </c>
      <c r="X30" t="e">
        <f>VLOOKUP(B30,'A Main Database'!P:P,1,0)</f>
        <v>#N/A</v>
      </c>
      <c r="Y30" t="s">
        <v>128</v>
      </c>
      <c r="Z30" t="s">
        <v>292</v>
      </c>
      <c r="AA30" t="str">
        <f t="shared" si="1"/>
        <v>mbicorp.ca/submit</v>
      </c>
    </row>
    <row r="31" spans="1:27" x14ac:dyDescent="0.25">
      <c r="A31" t="str">
        <f t="shared" si="0"/>
        <v>milanosiamonoi.se/submit</v>
      </c>
      <c r="B31" t="s">
        <v>45</v>
      </c>
      <c r="C31" s="4" t="e">
        <f>VLOOKUP($A31,'A Main Database'!$A:$R,3,0)</f>
        <v>#N/A</v>
      </c>
      <c r="D31" t="e">
        <f>VLOOKUP($A31,'A Main Database'!$A:$R,4,0)</f>
        <v>#N/A</v>
      </c>
      <c r="E31" t="e">
        <f>VLOOKUP($A31,'A Main Database'!$A:$R,5,0)</f>
        <v>#N/A</v>
      </c>
      <c r="F31" t="e">
        <f>VLOOKUP($A31,'A Main Database'!$A:$R,6,0)</f>
        <v>#N/A</v>
      </c>
      <c r="G31" t="e">
        <f>VLOOKUP($A31,'A Main Database'!$A:$R,7,0)</f>
        <v>#N/A</v>
      </c>
      <c r="H31" t="e">
        <f>VLOOKUP($A31,'A Main Database'!$A:$R,8,0)</f>
        <v>#N/A</v>
      </c>
      <c r="I31" t="e">
        <f>VLOOKUP($A31,'A Main Database'!$A:$R,9,0)</f>
        <v>#N/A</v>
      </c>
      <c r="J31" t="e">
        <f>VLOOKUP($A31,'A Main Database'!$A:$R,10,0)</f>
        <v>#N/A</v>
      </c>
      <c r="K31" t="e">
        <f>VLOOKUP($A31,'A Main Database'!$A:$R,11,0)</f>
        <v>#N/A</v>
      </c>
      <c r="L31" t="e">
        <f>VLOOKUP($A31,'A Main Database'!$A:$R,12,0)</f>
        <v>#N/A</v>
      </c>
      <c r="M31" t="e">
        <f>VLOOKUP($A31,'A Main Database'!$A:$R,13,0)</f>
        <v>#N/A</v>
      </c>
      <c r="N31" t="e">
        <f>VLOOKUP($A31,'A Main Database'!$A:$R,14,0)</f>
        <v>#N/A</v>
      </c>
      <c r="O31" t="e">
        <f>VLOOKUP($A31,'A Main Database'!$A:$R,15,0)</f>
        <v>#N/A</v>
      </c>
      <c r="P31" s="6" t="e">
        <f>VLOOKUP($A31,'A Main Database'!$A:$R,16,0)</f>
        <v>#N/A</v>
      </c>
      <c r="Q31" t="e">
        <f>VLOOKUP($A31,'A Main Database'!$A:$R,17,0)</f>
        <v>#N/A</v>
      </c>
      <c r="R31" t="e">
        <f>VLOOKUP($A31,'A Main Database'!$A:$R,18,0)</f>
        <v>#N/A</v>
      </c>
      <c r="S31" t="e">
        <f>VLOOKUP($A31,'A Main Database'!$A:$R,19,0)</f>
        <v>#N/A</v>
      </c>
      <c r="U31" t="str">
        <f>VLOOKUP(B31,'A Main Database'!A:A,1,0)</f>
        <v>milanosiamonoi.se</v>
      </c>
      <c r="V31" t="e">
        <f>VLOOKUP(B31,'A Main Database'!I:I,1,0)</f>
        <v>#N/A</v>
      </c>
      <c r="W31" t="e">
        <f>VLOOKUP(B31,'A Main Database'!M:M,1,0)</f>
        <v>#N/A</v>
      </c>
      <c r="X31" t="e">
        <f>VLOOKUP(B31,'A Main Database'!P:P,1,0)</f>
        <v>#N/A</v>
      </c>
      <c r="Y31" t="s">
        <v>128</v>
      </c>
      <c r="Z31" t="s">
        <v>292</v>
      </c>
      <c r="AA31" t="str">
        <f t="shared" si="1"/>
        <v>milanosiamonoi.se/submit</v>
      </c>
    </row>
    <row r="32" spans="1:27" x14ac:dyDescent="0.25">
      <c r="A32" t="str">
        <f t="shared" si="0"/>
        <v>nav123.net/submit</v>
      </c>
      <c r="B32" t="s">
        <v>46</v>
      </c>
      <c r="C32" s="4" t="e">
        <f>VLOOKUP($A32,'A Main Database'!$A:$R,3,0)</f>
        <v>#N/A</v>
      </c>
      <c r="D32" t="e">
        <f>VLOOKUP($A32,'A Main Database'!$A:$R,4,0)</f>
        <v>#N/A</v>
      </c>
      <c r="E32" t="e">
        <f>VLOOKUP($A32,'A Main Database'!$A:$R,5,0)</f>
        <v>#N/A</v>
      </c>
      <c r="F32" t="e">
        <f>VLOOKUP($A32,'A Main Database'!$A:$R,6,0)</f>
        <v>#N/A</v>
      </c>
      <c r="G32" t="e">
        <f>VLOOKUP($A32,'A Main Database'!$A:$R,7,0)</f>
        <v>#N/A</v>
      </c>
      <c r="H32" t="e">
        <f>VLOOKUP($A32,'A Main Database'!$A:$R,8,0)</f>
        <v>#N/A</v>
      </c>
      <c r="I32" t="e">
        <f>VLOOKUP($A32,'A Main Database'!$A:$R,9,0)</f>
        <v>#N/A</v>
      </c>
      <c r="J32" t="e">
        <f>VLOOKUP($A32,'A Main Database'!$A:$R,10,0)</f>
        <v>#N/A</v>
      </c>
      <c r="K32" t="e">
        <f>VLOOKUP($A32,'A Main Database'!$A:$R,11,0)</f>
        <v>#N/A</v>
      </c>
      <c r="L32" t="e">
        <f>VLOOKUP($A32,'A Main Database'!$A:$R,12,0)</f>
        <v>#N/A</v>
      </c>
      <c r="M32" t="e">
        <f>VLOOKUP($A32,'A Main Database'!$A:$R,13,0)</f>
        <v>#N/A</v>
      </c>
      <c r="N32" t="e">
        <f>VLOOKUP($A32,'A Main Database'!$A:$R,14,0)</f>
        <v>#N/A</v>
      </c>
      <c r="O32" t="e">
        <f>VLOOKUP($A32,'A Main Database'!$A:$R,15,0)</f>
        <v>#N/A</v>
      </c>
      <c r="P32" s="6" t="e">
        <f>VLOOKUP($A32,'A Main Database'!$A:$R,16,0)</f>
        <v>#N/A</v>
      </c>
      <c r="Q32" t="e">
        <f>VLOOKUP($A32,'A Main Database'!$A:$R,17,0)</f>
        <v>#N/A</v>
      </c>
      <c r="R32" t="e">
        <f>VLOOKUP($A32,'A Main Database'!$A:$R,18,0)</f>
        <v>#N/A</v>
      </c>
      <c r="S32" t="e">
        <f>VLOOKUP($A32,'A Main Database'!$A:$R,19,0)</f>
        <v>#N/A</v>
      </c>
      <c r="U32" t="str">
        <f>VLOOKUP(B32,'A Main Database'!A:A,1,0)</f>
        <v>nav123.net</v>
      </c>
      <c r="V32" t="e">
        <f>VLOOKUP(B32,'A Main Database'!I:I,1,0)</f>
        <v>#N/A</v>
      </c>
      <c r="W32" t="e">
        <f>VLOOKUP(B32,'A Main Database'!M:M,1,0)</f>
        <v>#N/A</v>
      </c>
      <c r="X32" t="e">
        <f>VLOOKUP(B32,'A Main Database'!P:P,1,0)</f>
        <v>#N/A</v>
      </c>
      <c r="Y32" t="s">
        <v>128</v>
      </c>
      <c r="Z32" t="s">
        <v>292</v>
      </c>
      <c r="AA32" t="str">
        <f t="shared" si="1"/>
        <v>nav123.net/submit</v>
      </c>
    </row>
    <row r="33" spans="1:27" x14ac:dyDescent="0.25">
      <c r="A33" t="str">
        <f t="shared" si="0"/>
        <v>norgould.com/submit</v>
      </c>
      <c r="B33" t="s">
        <v>47</v>
      </c>
      <c r="C33" s="4" t="e">
        <f>VLOOKUP($A33,'A Main Database'!$A:$R,3,0)</f>
        <v>#N/A</v>
      </c>
      <c r="D33" t="e">
        <f>VLOOKUP($A33,'A Main Database'!$A:$R,4,0)</f>
        <v>#N/A</v>
      </c>
      <c r="E33" t="e">
        <f>VLOOKUP($A33,'A Main Database'!$A:$R,5,0)</f>
        <v>#N/A</v>
      </c>
      <c r="F33" t="e">
        <f>VLOOKUP($A33,'A Main Database'!$A:$R,6,0)</f>
        <v>#N/A</v>
      </c>
      <c r="G33" t="e">
        <f>VLOOKUP($A33,'A Main Database'!$A:$R,7,0)</f>
        <v>#N/A</v>
      </c>
      <c r="H33" t="e">
        <f>VLOOKUP($A33,'A Main Database'!$A:$R,8,0)</f>
        <v>#N/A</v>
      </c>
      <c r="I33" t="e">
        <f>VLOOKUP($A33,'A Main Database'!$A:$R,9,0)</f>
        <v>#N/A</v>
      </c>
      <c r="J33" t="e">
        <f>VLOOKUP($A33,'A Main Database'!$A:$R,10,0)</f>
        <v>#N/A</v>
      </c>
      <c r="K33" t="e">
        <f>VLOOKUP($A33,'A Main Database'!$A:$R,11,0)</f>
        <v>#N/A</v>
      </c>
      <c r="L33" t="e">
        <f>VLOOKUP($A33,'A Main Database'!$A:$R,12,0)</f>
        <v>#N/A</v>
      </c>
      <c r="M33" t="e">
        <f>VLOOKUP($A33,'A Main Database'!$A:$R,13,0)</f>
        <v>#N/A</v>
      </c>
      <c r="N33" t="e">
        <f>VLOOKUP($A33,'A Main Database'!$A:$R,14,0)</f>
        <v>#N/A</v>
      </c>
      <c r="O33" t="e">
        <f>VLOOKUP($A33,'A Main Database'!$A:$R,15,0)</f>
        <v>#N/A</v>
      </c>
      <c r="P33" s="6" t="e">
        <f>VLOOKUP($A33,'A Main Database'!$A:$R,16,0)</f>
        <v>#N/A</v>
      </c>
      <c r="Q33" t="e">
        <f>VLOOKUP($A33,'A Main Database'!$A:$R,17,0)</f>
        <v>#N/A</v>
      </c>
      <c r="R33" t="e">
        <f>VLOOKUP($A33,'A Main Database'!$A:$R,18,0)</f>
        <v>#N/A</v>
      </c>
      <c r="S33" t="e">
        <f>VLOOKUP($A33,'A Main Database'!$A:$R,19,0)</f>
        <v>#N/A</v>
      </c>
      <c r="U33" t="str">
        <f>VLOOKUP(B33,'A Main Database'!A:A,1,0)</f>
        <v>norgould.com</v>
      </c>
      <c r="V33" t="e">
        <f>VLOOKUP(B33,'A Main Database'!I:I,1,0)</f>
        <v>#N/A</v>
      </c>
      <c r="W33" t="e">
        <f>VLOOKUP(B33,'A Main Database'!M:M,1,0)</f>
        <v>#N/A</v>
      </c>
      <c r="X33" t="e">
        <f>VLOOKUP(B33,'A Main Database'!P:P,1,0)</f>
        <v>#N/A</v>
      </c>
      <c r="Y33" t="s">
        <v>128</v>
      </c>
      <c r="Z33" t="s">
        <v>292</v>
      </c>
      <c r="AA33" t="str">
        <f t="shared" si="1"/>
        <v>norgould.com/submit</v>
      </c>
    </row>
    <row r="34" spans="1:27" x14ac:dyDescent="0.25">
      <c r="A34" t="str">
        <f t="shared" si="0"/>
        <v>officecleaningekeiwaki.blogspot.com/submit</v>
      </c>
      <c r="B34" t="s">
        <v>48</v>
      </c>
      <c r="C34" s="4" t="e">
        <f>VLOOKUP($A34,'A Main Database'!$A:$R,3,0)</f>
        <v>#N/A</v>
      </c>
      <c r="D34" t="e">
        <f>VLOOKUP($A34,'A Main Database'!$A:$R,4,0)</f>
        <v>#N/A</v>
      </c>
      <c r="E34" t="e">
        <f>VLOOKUP($A34,'A Main Database'!$A:$R,5,0)</f>
        <v>#N/A</v>
      </c>
      <c r="F34" t="e">
        <f>VLOOKUP($A34,'A Main Database'!$A:$R,6,0)</f>
        <v>#N/A</v>
      </c>
      <c r="G34" t="e">
        <f>VLOOKUP($A34,'A Main Database'!$A:$R,7,0)</f>
        <v>#N/A</v>
      </c>
      <c r="H34" t="e">
        <f>VLOOKUP($A34,'A Main Database'!$A:$R,8,0)</f>
        <v>#N/A</v>
      </c>
      <c r="I34" t="e">
        <f>VLOOKUP($A34,'A Main Database'!$A:$R,9,0)</f>
        <v>#N/A</v>
      </c>
      <c r="J34" t="e">
        <f>VLOOKUP($A34,'A Main Database'!$A:$R,10,0)</f>
        <v>#N/A</v>
      </c>
      <c r="K34" t="e">
        <f>VLOOKUP($A34,'A Main Database'!$A:$R,11,0)</f>
        <v>#N/A</v>
      </c>
      <c r="L34" t="e">
        <f>VLOOKUP($A34,'A Main Database'!$A:$R,12,0)</f>
        <v>#N/A</v>
      </c>
      <c r="M34" t="e">
        <f>VLOOKUP($A34,'A Main Database'!$A:$R,13,0)</f>
        <v>#N/A</v>
      </c>
      <c r="N34" t="e">
        <f>VLOOKUP($A34,'A Main Database'!$A:$R,14,0)</f>
        <v>#N/A</v>
      </c>
      <c r="O34" t="e">
        <f>VLOOKUP($A34,'A Main Database'!$A:$R,15,0)</f>
        <v>#N/A</v>
      </c>
      <c r="P34" s="6" t="e">
        <f>VLOOKUP($A34,'A Main Database'!$A:$R,16,0)</f>
        <v>#N/A</v>
      </c>
      <c r="Q34" t="e">
        <f>VLOOKUP($A34,'A Main Database'!$A:$R,17,0)</f>
        <v>#N/A</v>
      </c>
      <c r="R34" t="e">
        <f>VLOOKUP($A34,'A Main Database'!$A:$R,18,0)</f>
        <v>#N/A</v>
      </c>
      <c r="S34" t="e">
        <f>VLOOKUP($A34,'A Main Database'!$A:$R,19,0)</f>
        <v>#N/A</v>
      </c>
      <c r="U34" t="str">
        <f>VLOOKUP(B34,'A Main Database'!A:A,1,0)</f>
        <v>officecleaningekeiwaki.blogspot.com</v>
      </c>
      <c r="V34" t="e">
        <f>VLOOKUP(B34,'A Main Database'!I:I,1,0)</f>
        <v>#N/A</v>
      </c>
      <c r="W34" t="e">
        <f>VLOOKUP(B34,'A Main Database'!M:M,1,0)</f>
        <v>#N/A</v>
      </c>
      <c r="X34" t="e">
        <f>VLOOKUP(B34,'A Main Database'!P:P,1,0)</f>
        <v>#N/A</v>
      </c>
      <c r="Y34" t="s">
        <v>128</v>
      </c>
      <c r="Z34" t="s">
        <v>292</v>
      </c>
      <c r="AA34" t="str">
        <f t="shared" si="1"/>
        <v>officecleaningekeiwaki.blogspot.com/submit</v>
      </c>
    </row>
    <row r="35" spans="1:27" x14ac:dyDescent="0.25">
      <c r="A35" t="str">
        <f t="shared" si="0"/>
        <v>officecleaningpokabako.blogspot.com/submit</v>
      </c>
      <c r="B35" t="s">
        <v>49</v>
      </c>
      <c r="C35" s="4" t="e">
        <f>VLOOKUP($A35,'A Main Database'!$A:$R,3,0)</f>
        <v>#N/A</v>
      </c>
      <c r="D35" t="e">
        <f>VLOOKUP($A35,'A Main Database'!$A:$R,4,0)</f>
        <v>#N/A</v>
      </c>
      <c r="E35" t="e">
        <f>VLOOKUP($A35,'A Main Database'!$A:$R,5,0)</f>
        <v>#N/A</v>
      </c>
      <c r="F35" t="e">
        <f>VLOOKUP($A35,'A Main Database'!$A:$R,6,0)</f>
        <v>#N/A</v>
      </c>
      <c r="G35" t="e">
        <f>VLOOKUP($A35,'A Main Database'!$A:$R,7,0)</f>
        <v>#N/A</v>
      </c>
      <c r="H35" t="e">
        <f>VLOOKUP($A35,'A Main Database'!$A:$R,8,0)</f>
        <v>#N/A</v>
      </c>
      <c r="I35" t="e">
        <f>VLOOKUP($A35,'A Main Database'!$A:$R,9,0)</f>
        <v>#N/A</v>
      </c>
      <c r="J35" t="e">
        <f>VLOOKUP($A35,'A Main Database'!$A:$R,10,0)</f>
        <v>#N/A</v>
      </c>
      <c r="K35" t="e">
        <f>VLOOKUP($A35,'A Main Database'!$A:$R,11,0)</f>
        <v>#N/A</v>
      </c>
      <c r="L35" t="e">
        <f>VLOOKUP($A35,'A Main Database'!$A:$R,12,0)</f>
        <v>#N/A</v>
      </c>
      <c r="M35" t="e">
        <f>VLOOKUP($A35,'A Main Database'!$A:$R,13,0)</f>
        <v>#N/A</v>
      </c>
      <c r="N35" t="e">
        <f>VLOOKUP($A35,'A Main Database'!$A:$R,14,0)</f>
        <v>#N/A</v>
      </c>
      <c r="O35" t="e">
        <f>VLOOKUP($A35,'A Main Database'!$A:$R,15,0)</f>
        <v>#N/A</v>
      </c>
      <c r="P35" s="6" t="e">
        <f>VLOOKUP($A35,'A Main Database'!$A:$R,16,0)</f>
        <v>#N/A</v>
      </c>
      <c r="Q35" t="e">
        <f>VLOOKUP($A35,'A Main Database'!$A:$R,17,0)</f>
        <v>#N/A</v>
      </c>
      <c r="R35" t="e">
        <f>VLOOKUP($A35,'A Main Database'!$A:$R,18,0)</f>
        <v>#N/A</v>
      </c>
      <c r="S35" t="e">
        <f>VLOOKUP($A35,'A Main Database'!$A:$R,19,0)</f>
        <v>#N/A</v>
      </c>
      <c r="U35" t="str">
        <f>VLOOKUP(B35,'A Main Database'!A:A,1,0)</f>
        <v>officecleaningpokabako.blogspot.com</v>
      </c>
      <c r="V35" t="e">
        <f>VLOOKUP(B35,'A Main Database'!I:I,1,0)</f>
        <v>#N/A</v>
      </c>
      <c r="W35" t="e">
        <f>VLOOKUP(B35,'A Main Database'!M:M,1,0)</f>
        <v>#N/A</v>
      </c>
      <c r="X35" t="e">
        <f>VLOOKUP(B35,'A Main Database'!P:P,1,0)</f>
        <v>#N/A</v>
      </c>
      <c r="Y35" t="s">
        <v>128</v>
      </c>
      <c r="Z35" t="s">
        <v>292</v>
      </c>
      <c r="AA35" t="str">
        <f t="shared" si="1"/>
        <v>officecleaningpokabako.blogspot.com/submit</v>
      </c>
    </row>
    <row r="36" spans="1:27" x14ac:dyDescent="0.25">
      <c r="A36" t="str">
        <f t="shared" si="0"/>
        <v>officecleaningtochka.blogspot.com/submit</v>
      </c>
      <c r="B36" t="s">
        <v>50</v>
      </c>
      <c r="C36" s="4" t="e">
        <f>VLOOKUP($A36,'A Main Database'!$A:$R,3,0)</f>
        <v>#N/A</v>
      </c>
      <c r="D36" t="e">
        <f>VLOOKUP($A36,'A Main Database'!$A:$R,4,0)</f>
        <v>#N/A</v>
      </c>
      <c r="E36" t="e">
        <f>VLOOKUP($A36,'A Main Database'!$A:$R,5,0)</f>
        <v>#N/A</v>
      </c>
      <c r="F36" t="e">
        <f>VLOOKUP($A36,'A Main Database'!$A:$R,6,0)</f>
        <v>#N/A</v>
      </c>
      <c r="G36" t="e">
        <f>VLOOKUP($A36,'A Main Database'!$A:$R,7,0)</f>
        <v>#N/A</v>
      </c>
      <c r="H36" t="e">
        <f>VLOOKUP($A36,'A Main Database'!$A:$R,8,0)</f>
        <v>#N/A</v>
      </c>
      <c r="I36" t="e">
        <f>VLOOKUP($A36,'A Main Database'!$A:$R,9,0)</f>
        <v>#N/A</v>
      </c>
      <c r="J36" t="e">
        <f>VLOOKUP($A36,'A Main Database'!$A:$R,10,0)</f>
        <v>#N/A</v>
      </c>
      <c r="K36" t="e">
        <f>VLOOKUP($A36,'A Main Database'!$A:$R,11,0)</f>
        <v>#N/A</v>
      </c>
      <c r="L36" t="e">
        <f>VLOOKUP($A36,'A Main Database'!$A:$R,12,0)</f>
        <v>#N/A</v>
      </c>
      <c r="M36" t="e">
        <f>VLOOKUP($A36,'A Main Database'!$A:$R,13,0)</f>
        <v>#N/A</v>
      </c>
      <c r="N36" t="e">
        <f>VLOOKUP($A36,'A Main Database'!$A:$R,14,0)</f>
        <v>#N/A</v>
      </c>
      <c r="O36" t="e">
        <f>VLOOKUP($A36,'A Main Database'!$A:$R,15,0)</f>
        <v>#N/A</v>
      </c>
      <c r="P36" s="6" t="e">
        <f>VLOOKUP($A36,'A Main Database'!$A:$R,16,0)</f>
        <v>#N/A</v>
      </c>
      <c r="Q36" t="e">
        <f>VLOOKUP($A36,'A Main Database'!$A:$R,17,0)</f>
        <v>#N/A</v>
      </c>
      <c r="R36" t="e">
        <f>VLOOKUP($A36,'A Main Database'!$A:$R,18,0)</f>
        <v>#N/A</v>
      </c>
      <c r="S36" t="e">
        <f>VLOOKUP($A36,'A Main Database'!$A:$R,19,0)</f>
        <v>#N/A</v>
      </c>
      <c r="U36" t="str">
        <f>VLOOKUP(B36,'A Main Database'!A:A,1,0)</f>
        <v>officecleaningtochka.blogspot.com</v>
      </c>
      <c r="V36" t="e">
        <f>VLOOKUP(B36,'A Main Database'!I:I,1,0)</f>
        <v>#N/A</v>
      </c>
      <c r="W36" t="e">
        <f>VLOOKUP(B36,'A Main Database'!M:M,1,0)</f>
        <v>#N/A</v>
      </c>
      <c r="X36" t="e">
        <f>VLOOKUP(B36,'A Main Database'!P:P,1,0)</f>
        <v>#N/A</v>
      </c>
      <c r="Y36" t="s">
        <v>128</v>
      </c>
      <c r="Z36" t="s">
        <v>292</v>
      </c>
      <c r="AA36" t="str">
        <f t="shared" si="1"/>
        <v>officecleaningtochka.blogspot.com/submit</v>
      </c>
    </row>
    <row r="37" spans="1:27" x14ac:dyDescent="0.25">
      <c r="A37" t="str">
        <f t="shared" si="0"/>
        <v>ottawa.allofcanada.com/submit</v>
      </c>
      <c r="B37" t="s">
        <v>93</v>
      </c>
      <c r="C37" s="4" t="e">
        <f>VLOOKUP($A37,'A Main Database'!$A:$R,3,0)</f>
        <v>#N/A</v>
      </c>
      <c r="D37" t="e">
        <f>VLOOKUP($A37,'A Main Database'!$A:$R,4,0)</f>
        <v>#N/A</v>
      </c>
      <c r="E37" t="e">
        <f>VLOOKUP($A37,'A Main Database'!$A:$R,5,0)</f>
        <v>#N/A</v>
      </c>
      <c r="F37" t="e">
        <f>VLOOKUP($A37,'A Main Database'!$A:$R,6,0)</f>
        <v>#N/A</v>
      </c>
      <c r="G37" t="e">
        <f>VLOOKUP($A37,'A Main Database'!$A:$R,7,0)</f>
        <v>#N/A</v>
      </c>
      <c r="H37" t="e">
        <f>VLOOKUP($A37,'A Main Database'!$A:$R,8,0)</f>
        <v>#N/A</v>
      </c>
      <c r="I37" t="e">
        <f>VLOOKUP($A37,'A Main Database'!$A:$R,9,0)</f>
        <v>#N/A</v>
      </c>
      <c r="J37" t="e">
        <f>VLOOKUP($A37,'A Main Database'!$A:$R,10,0)</f>
        <v>#N/A</v>
      </c>
      <c r="K37" t="e">
        <f>VLOOKUP($A37,'A Main Database'!$A:$R,11,0)</f>
        <v>#N/A</v>
      </c>
      <c r="L37" t="e">
        <f>VLOOKUP($A37,'A Main Database'!$A:$R,12,0)</f>
        <v>#N/A</v>
      </c>
      <c r="M37" t="e">
        <f>VLOOKUP($A37,'A Main Database'!$A:$R,13,0)</f>
        <v>#N/A</v>
      </c>
      <c r="N37" t="e">
        <f>VLOOKUP($A37,'A Main Database'!$A:$R,14,0)</f>
        <v>#N/A</v>
      </c>
      <c r="O37" t="e">
        <f>VLOOKUP($A37,'A Main Database'!$A:$R,15,0)</f>
        <v>#N/A</v>
      </c>
      <c r="P37" s="6" t="e">
        <f>VLOOKUP($A37,'A Main Database'!$A:$R,16,0)</f>
        <v>#N/A</v>
      </c>
      <c r="Q37" t="e">
        <f>VLOOKUP($A37,'A Main Database'!$A:$R,17,0)</f>
        <v>#N/A</v>
      </c>
      <c r="R37" t="e">
        <f>VLOOKUP($A37,'A Main Database'!$A:$R,18,0)</f>
        <v>#N/A</v>
      </c>
      <c r="S37" t="e">
        <f>VLOOKUP($A37,'A Main Database'!$A:$R,19,0)</f>
        <v>#N/A</v>
      </c>
      <c r="U37" t="e">
        <f>VLOOKUP(B37,'A Main Database'!A:A,1,0)</f>
        <v>#N/A</v>
      </c>
      <c r="V37" t="e">
        <f>VLOOKUP(B37,'A Main Database'!I:I,1,0)</f>
        <v>#N/A</v>
      </c>
      <c r="W37" t="e">
        <f>VLOOKUP(B37,'A Main Database'!M:M,1,0)</f>
        <v>#N/A</v>
      </c>
      <c r="X37" t="e">
        <f>VLOOKUP(B37,'A Main Database'!P:P,1,0)</f>
        <v>#N/A</v>
      </c>
      <c r="Y37" t="s">
        <v>287</v>
      </c>
      <c r="Z37" t="s">
        <v>292</v>
      </c>
      <c r="AA37" t="str">
        <f t="shared" si="1"/>
        <v>ottawa.allofcanada.com/submit</v>
      </c>
    </row>
    <row r="38" spans="1:27" x14ac:dyDescent="0.25">
      <c r="A38" t="str">
        <f t="shared" si="0"/>
        <v>ottawa.cdncompanies.com/submit</v>
      </c>
      <c r="B38" t="s">
        <v>94</v>
      </c>
      <c r="C38" s="4" t="e">
        <f>VLOOKUP($A38,'A Main Database'!$A:$R,3,0)</f>
        <v>#N/A</v>
      </c>
      <c r="D38" t="e">
        <f>VLOOKUP($A38,'A Main Database'!$A:$R,4,0)</f>
        <v>#N/A</v>
      </c>
      <c r="E38" t="e">
        <f>VLOOKUP($A38,'A Main Database'!$A:$R,5,0)</f>
        <v>#N/A</v>
      </c>
      <c r="F38" t="e">
        <f>VLOOKUP($A38,'A Main Database'!$A:$R,6,0)</f>
        <v>#N/A</v>
      </c>
      <c r="G38" t="e">
        <f>VLOOKUP($A38,'A Main Database'!$A:$R,7,0)</f>
        <v>#N/A</v>
      </c>
      <c r="H38" t="e">
        <f>VLOOKUP($A38,'A Main Database'!$A:$R,8,0)</f>
        <v>#N/A</v>
      </c>
      <c r="I38" t="e">
        <f>VLOOKUP($A38,'A Main Database'!$A:$R,9,0)</f>
        <v>#N/A</v>
      </c>
      <c r="J38" t="e">
        <f>VLOOKUP($A38,'A Main Database'!$A:$R,10,0)</f>
        <v>#N/A</v>
      </c>
      <c r="K38" t="e">
        <f>VLOOKUP($A38,'A Main Database'!$A:$R,11,0)</f>
        <v>#N/A</v>
      </c>
      <c r="L38" t="e">
        <f>VLOOKUP($A38,'A Main Database'!$A:$R,12,0)</f>
        <v>#N/A</v>
      </c>
      <c r="M38" t="e">
        <f>VLOOKUP($A38,'A Main Database'!$A:$R,13,0)</f>
        <v>#N/A</v>
      </c>
      <c r="N38" t="e">
        <f>VLOOKUP($A38,'A Main Database'!$A:$R,14,0)</f>
        <v>#N/A</v>
      </c>
      <c r="O38" t="e">
        <f>VLOOKUP($A38,'A Main Database'!$A:$R,15,0)</f>
        <v>#N/A</v>
      </c>
      <c r="P38" s="6" t="e">
        <f>VLOOKUP($A38,'A Main Database'!$A:$R,16,0)</f>
        <v>#N/A</v>
      </c>
      <c r="Q38" t="e">
        <f>VLOOKUP($A38,'A Main Database'!$A:$R,17,0)</f>
        <v>#N/A</v>
      </c>
      <c r="R38" t="e">
        <f>VLOOKUP($A38,'A Main Database'!$A:$R,18,0)</f>
        <v>#N/A</v>
      </c>
      <c r="S38" t="e">
        <f>VLOOKUP($A38,'A Main Database'!$A:$R,19,0)</f>
        <v>#N/A</v>
      </c>
      <c r="U38" t="e">
        <f>VLOOKUP(B38,'A Main Database'!A:A,1,0)</f>
        <v>#N/A</v>
      </c>
      <c r="V38" t="e">
        <f>VLOOKUP(B38,'A Main Database'!I:I,1,0)</f>
        <v>#N/A</v>
      </c>
      <c r="W38" t="e">
        <f>VLOOKUP(B38,'A Main Database'!M:M,1,0)</f>
        <v>#N/A</v>
      </c>
      <c r="X38" t="e">
        <f>VLOOKUP(B38,'A Main Database'!P:P,1,0)</f>
        <v>#N/A</v>
      </c>
      <c r="Y38" t="s">
        <v>287</v>
      </c>
      <c r="Z38" t="s">
        <v>292</v>
      </c>
      <c r="AA38" t="str">
        <f t="shared" si="1"/>
        <v>ottawa.cdncompanies.com/submit</v>
      </c>
    </row>
    <row r="39" spans="1:27" x14ac:dyDescent="0.25">
      <c r="A39" t="str">
        <f t="shared" si="0"/>
        <v>ottawa-on.canada-stores.com/submit</v>
      </c>
      <c r="B39" t="s">
        <v>95</v>
      </c>
      <c r="C39" s="4" t="e">
        <f>VLOOKUP($A39,'A Main Database'!$A:$R,3,0)</f>
        <v>#N/A</v>
      </c>
      <c r="D39" t="e">
        <f>VLOOKUP($A39,'A Main Database'!$A:$R,4,0)</f>
        <v>#N/A</v>
      </c>
      <c r="E39" t="e">
        <f>VLOOKUP($A39,'A Main Database'!$A:$R,5,0)</f>
        <v>#N/A</v>
      </c>
      <c r="F39" t="e">
        <f>VLOOKUP($A39,'A Main Database'!$A:$R,6,0)</f>
        <v>#N/A</v>
      </c>
      <c r="G39" t="e">
        <f>VLOOKUP($A39,'A Main Database'!$A:$R,7,0)</f>
        <v>#N/A</v>
      </c>
      <c r="H39" t="e">
        <f>VLOOKUP($A39,'A Main Database'!$A:$R,8,0)</f>
        <v>#N/A</v>
      </c>
      <c r="I39" t="e">
        <f>VLOOKUP($A39,'A Main Database'!$A:$R,9,0)</f>
        <v>#N/A</v>
      </c>
      <c r="J39" t="e">
        <f>VLOOKUP($A39,'A Main Database'!$A:$R,10,0)</f>
        <v>#N/A</v>
      </c>
      <c r="K39" t="e">
        <f>VLOOKUP($A39,'A Main Database'!$A:$R,11,0)</f>
        <v>#N/A</v>
      </c>
      <c r="L39" t="e">
        <f>VLOOKUP($A39,'A Main Database'!$A:$R,12,0)</f>
        <v>#N/A</v>
      </c>
      <c r="M39" t="e">
        <f>VLOOKUP($A39,'A Main Database'!$A:$R,13,0)</f>
        <v>#N/A</v>
      </c>
      <c r="N39" t="e">
        <f>VLOOKUP($A39,'A Main Database'!$A:$R,14,0)</f>
        <v>#N/A</v>
      </c>
      <c r="O39" t="e">
        <f>VLOOKUP($A39,'A Main Database'!$A:$R,15,0)</f>
        <v>#N/A</v>
      </c>
      <c r="P39" s="6" t="e">
        <f>VLOOKUP($A39,'A Main Database'!$A:$R,16,0)</f>
        <v>#N/A</v>
      </c>
      <c r="Q39" t="e">
        <f>VLOOKUP($A39,'A Main Database'!$A:$R,17,0)</f>
        <v>#N/A</v>
      </c>
      <c r="R39" t="e">
        <f>VLOOKUP($A39,'A Main Database'!$A:$R,18,0)</f>
        <v>#N/A</v>
      </c>
      <c r="S39" t="e">
        <f>VLOOKUP($A39,'A Main Database'!$A:$R,19,0)</f>
        <v>#N/A</v>
      </c>
      <c r="U39" t="e">
        <f>VLOOKUP(B39,'A Main Database'!A:A,1,0)</f>
        <v>#N/A</v>
      </c>
      <c r="V39" t="e">
        <f>VLOOKUP(B39,'A Main Database'!I:I,1,0)</f>
        <v>#N/A</v>
      </c>
      <c r="W39" t="e">
        <f>VLOOKUP(B39,'A Main Database'!M:M,1,0)</f>
        <v>#N/A</v>
      </c>
      <c r="X39" t="e">
        <f>VLOOKUP(B39,'A Main Database'!P:P,1,0)</f>
        <v>#N/A</v>
      </c>
      <c r="Y39" t="s">
        <v>287</v>
      </c>
      <c r="Z39" t="s">
        <v>292</v>
      </c>
      <c r="AA39" t="str">
        <f t="shared" si="1"/>
        <v>ottawa-on.canada-stores.com/submit</v>
      </c>
    </row>
    <row r="40" spans="1:27" x14ac:dyDescent="0.25">
      <c r="A40" t="str">
        <f t="shared" si="0"/>
        <v>ottawa-on.canadiancontractorsnearme.com/submit</v>
      </c>
      <c r="B40" t="s">
        <v>96</v>
      </c>
      <c r="C40" s="4" t="e">
        <f>VLOOKUP($A40,'A Main Database'!$A:$R,3,0)</f>
        <v>#N/A</v>
      </c>
      <c r="D40" t="e">
        <f>VLOOKUP($A40,'A Main Database'!$A:$R,4,0)</f>
        <v>#N/A</v>
      </c>
      <c r="E40" t="e">
        <f>VLOOKUP($A40,'A Main Database'!$A:$R,5,0)</f>
        <v>#N/A</v>
      </c>
      <c r="F40" t="e">
        <f>VLOOKUP($A40,'A Main Database'!$A:$R,6,0)</f>
        <v>#N/A</v>
      </c>
      <c r="G40" t="e">
        <f>VLOOKUP($A40,'A Main Database'!$A:$R,7,0)</f>
        <v>#N/A</v>
      </c>
      <c r="H40" t="e">
        <f>VLOOKUP($A40,'A Main Database'!$A:$R,8,0)</f>
        <v>#N/A</v>
      </c>
      <c r="I40" t="e">
        <f>VLOOKUP($A40,'A Main Database'!$A:$R,9,0)</f>
        <v>#N/A</v>
      </c>
      <c r="J40" t="e">
        <f>VLOOKUP($A40,'A Main Database'!$A:$R,10,0)</f>
        <v>#N/A</v>
      </c>
      <c r="K40" t="e">
        <f>VLOOKUP($A40,'A Main Database'!$A:$R,11,0)</f>
        <v>#N/A</v>
      </c>
      <c r="L40" t="e">
        <f>VLOOKUP($A40,'A Main Database'!$A:$R,12,0)</f>
        <v>#N/A</v>
      </c>
      <c r="M40" t="e">
        <f>VLOOKUP($A40,'A Main Database'!$A:$R,13,0)</f>
        <v>#N/A</v>
      </c>
      <c r="N40" t="e">
        <f>VLOOKUP($A40,'A Main Database'!$A:$R,14,0)</f>
        <v>#N/A</v>
      </c>
      <c r="O40" t="e">
        <f>VLOOKUP($A40,'A Main Database'!$A:$R,15,0)</f>
        <v>#N/A</v>
      </c>
      <c r="P40" s="6" t="e">
        <f>VLOOKUP($A40,'A Main Database'!$A:$R,16,0)</f>
        <v>#N/A</v>
      </c>
      <c r="Q40" t="e">
        <f>VLOOKUP($A40,'A Main Database'!$A:$R,17,0)</f>
        <v>#N/A</v>
      </c>
      <c r="R40" t="e">
        <f>VLOOKUP($A40,'A Main Database'!$A:$R,18,0)</f>
        <v>#N/A</v>
      </c>
      <c r="S40" t="e">
        <f>VLOOKUP($A40,'A Main Database'!$A:$R,19,0)</f>
        <v>#N/A</v>
      </c>
      <c r="U40" t="e">
        <f>VLOOKUP(B40,'A Main Database'!A:A,1,0)</f>
        <v>#N/A</v>
      </c>
      <c r="V40" t="e">
        <f>VLOOKUP(B40,'A Main Database'!I:I,1,0)</f>
        <v>#N/A</v>
      </c>
      <c r="W40" t="e">
        <f>VLOOKUP(B40,'A Main Database'!M:M,1,0)</f>
        <v>#N/A</v>
      </c>
      <c r="X40" t="e">
        <f>VLOOKUP(B40,'A Main Database'!P:P,1,0)</f>
        <v>#N/A</v>
      </c>
      <c r="Y40" t="s">
        <v>287</v>
      </c>
      <c r="Z40" t="s">
        <v>292</v>
      </c>
      <c r="AA40" t="str">
        <f t="shared" si="1"/>
        <v>ottawa-on.canadiancontractorsnearme.com/submit</v>
      </c>
    </row>
    <row r="41" spans="1:27" x14ac:dyDescent="0.25">
      <c r="A41" t="str">
        <f t="shared" si="0"/>
        <v>www.cdnpages.ca/submit</v>
      </c>
      <c r="B41" t="s">
        <v>97</v>
      </c>
      <c r="C41" s="4" t="e">
        <f>VLOOKUP($A41,'A Main Database'!$A:$R,3,0)</f>
        <v>#N/A</v>
      </c>
      <c r="D41" t="e">
        <f>VLOOKUP($A41,'A Main Database'!$A:$R,4,0)</f>
        <v>#N/A</v>
      </c>
      <c r="E41" t="e">
        <f>VLOOKUP($A41,'A Main Database'!$A:$R,5,0)</f>
        <v>#N/A</v>
      </c>
      <c r="F41" t="e">
        <f>VLOOKUP($A41,'A Main Database'!$A:$R,6,0)</f>
        <v>#N/A</v>
      </c>
      <c r="G41" t="e">
        <f>VLOOKUP($A41,'A Main Database'!$A:$R,7,0)</f>
        <v>#N/A</v>
      </c>
      <c r="H41" t="e">
        <f>VLOOKUP($A41,'A Main Database'!$A:$R,8,0)</f>
        <v>#N/A</v>
      </c>
      <c r="I41" t="e">
        <f>VLOOKUP($A41,'A Main Database'!$A:$R,9,0)</f>
        <v>#N/A</v>
      </c>
      <c r="J41" t="e">
        <f>VLOOKUP($A41,'A Main Database'!$A:$R,10,0)</f>
        <v>#N/A</v>
      </c>
      <c r="K41" t="e">
        <f>VLOOKUP($A41,'A Main Database'!$A:$R,11,0)</f>
        <v>#N/A</v>
      </c>
      <c r="L41" t="e">
        <f>VLOOKUP($A41,'A Main Database'!$A:$R,12,0)</f>
        <v>#N/A</v>
      </c>
      <c r="M41" t="e">
        <f>VLOOKUP($A41,'A Main Database'!$A:$R,13,0)</f>
        <v>#N/A</v>
      </c>
      <c r="N41" t="e">
        <f>VLOOKUP($A41,'A Main Database'!$A:$R,14,0)</f>
        <v>#N/A</v>
      </c>
      <c r="O41" t="e">
        <f>VLOOKUP($A41,'A Main Database'!$A:$R,15,0)</f>
        <v>#N/A</v>
      </c>
      <c r="P41" s="6" t="e">
        <f>VLOOKUP($A41,'A Main Database'!$A:$R,16,0)</f>
        <v>#N/A</v>
      </c>
      <c r="Q41" t="e">
        <f>VLOOKUP($A41,'A Main Database'!$A:$R,17,0)</f>
        <v>#N/A</v>
      </c>
      <c r="R41" t="e">
        <f>VLOOKUP($A41,'A Main Database'!$A:$R,18,0)</f>
        <v>#N/A</v>
      </c>
      <c r="S41" t="e">
        <f>VLOOKUP($A41,'A Main Database'!$A:$R,19,0)</f>
        <v>#N/A</v>
      </c>
      <c r="U41" t="e">
        <f>VLOOKUP(B41,'A Main Database'!A:A,1,0)</f>
        <v>#N/A</v>
      </c>
      <c r="V41" t="e">
        <f>VLOOKUP(B41,'A Main Database'!I:I,1,0)</f>
        <v>#N/A</v>
      </c>
      <c r="W41" t="e">
        <f>VLOOKUP(B41,'A Main Database'!M:M,1,0)</f>
        <v>#N/A</v>
      </c>
      <c r="X41" t="e">
        <f>VLOOKUP(B41,'A Main Database'!P:P,1,0)</f>
        <v>#N/A</v>
      </c>
      <c r="Y41" t="s">
        <v>287</v>
      </c>
      <c r="Z41" t="s">
        <v>292</v>
      </c>
      <c r="AA41" t="str">
        <f t="shared" si="1"/>
        <v>www.cdnpages.ca/submit</v>
      </c>
    </row>
    <row r="42" spans="1:27" x14ac:dyDescent="0.25">
      <c r="A42" t="str">
        <f t="shared" si="0"/>
        <v>www.cleanyx.com/submit</v>
      </c>
      <c r="B42" t="s">
        <v>98</v>
      </c>
      <c r="C42" s="4" t="e">
        <f>VLOOKUP($A42,'A Main Database'!$A:$R,3,0)</f>
        <v>#N/A</v>
      </c>
      <c r="D42" t="e">
        <f>VLOOKUP($A42,'A Main Database'!$A:$R,4,0)</f>
        <v>#N/A</v>
      </c>
      <c r="E42" t="e">
        <f>VLOOKUP($A42,'A Main Database'!$A:$R,5,0)</f>
        <v>#N/A</v>
      </c>
      <c r="F42" t="e">
        <f>VLOOKUP($A42,'A Main Database'!$A:$R,6,0)</f>
        <v>#N/A</v>
      </c>
      <c r="G42" t="e">
        <f>VLOOKUP($A42,'A Main Database'!$A:$R,7,0)</f>
        <v>#N/A</v>
      </c>
      <c r="H42" t="e">
        <f>VLOOKUP($A42,'A Main Database'!$A:$R,8,0)</f>
        <v>#N/A</v>
      </c>
      <c r="I42" t="e">
        <f>VLOOKUP($A42,'A Main Database'!$A:$R,9,0)</f>
        <v>#N/A</v>
      </c>
      <c r="J42" t="e">
        <f>VLOOKUP($A42,'A Main Database'!$A:$R,10,0)</f>
        <v>#N/A</v>
      </c>
      <c r="K42" t="e">
        <f>VLOOKUP($A42,'A Main Database'!$A:$R,11,0)</f>
        <v>#N/A</v>
      </c>
      <c r="L42" t="e">
        <f>VLOOKUP($A42,'A Main Database'!$A:$R,12,0)</f>
        <v>#N/A</v>
      </c>
      <c r="M42" t="e">
        <f>VLOOKUP($A42,'A Main Database'!$A:$R,13,0)</f>
        <v>#N/A</v>
      </c>
      <c r="N42" t="e">
        <f>VLOOKUP($A42,'A Main Database'!$A:$R,14,0)</f>
        <v>#N/A</v>
      </c>
      <c r="O42" t="e">
        <f>VLOOKUP($A42,'A Main Database'!$A:$R,15,0)</f>
        <v>#N/A</v>
      </c>
      <c r="P42" s="6" t="e">
        <f>VLOOKUP($A42,'A Main Database'!$A:$R,16,0)</f>
        <v>#N/A</v>
      </c>
      <c r="Q42" t="e">
        <f>VLOOKUP($A42,'A Main Database'!$A:$R,17,0)</f>
        <v>#N/A</v>
      </c>
      <c r="R42" t="e">
        <f>VLOOKUP($A42,'A Main Database'!$A:$R,18,0)</f>
        <v>#N/A</v>
      </c>
      <c r="S42" t="e">
        <f>VLOOKUP($A42,'A Main Database'!$A:$R,19,0)</f>
        <v>#N/A</v>
      </c>
      <c r="U42" t="e">
        <f>VLOOKUP(B42,'A Main Database'!A:A,1,0)</f>
        <v>#N/A</v>
      </c>
      <c r="V42" t="e">
        <f>VLOOKUP(B42,'A Main Database'!I:I,1,0)</f>
        <v>#N/A</v>
      </c>
      <c r="W42" t="e">
        <f>VLOOKUP(B42,'A Main Database'!M:M,1,0)</f>
        <v>#N/A</v>
      </c>
      <c r="X42" t="e">
        <f>VLOOKUP(B42,'A Main Database'!P:P,1,0)</f>
        <v>#N/A</v>
      </c>
      <c r="Y42" t="s">
        <v>287</v>
      </c>
      <c r="Z42" t="s">
        <v>292</v>
      </c>
      <c r="AA42" t="str">
        <f t="shared" si="1"/>
        <v>www.cleanyx.com/submit</v>
      </c>
    </row>
    <row r="43" spans="1:27" x14ac:dyDescent="0.25">
      <c r="A43" t="str">
        <f t="shared" si="0"/>
        <v>www.emutop.net/submit</v>
      </c>
      <c r="B43" t="s">
        <v>99</v>
      </c>
      <c r="C43" s="4" t="e">
        <f>VLOOKUP($A43,'A Main Database'!$A:$R,3,0)</f>
        <v>#N/A</v>
      </c>
      <c r="D43" t="e">
        <f>VLOOKUP($A43,'A Main Database'!$A:$R,4,0)</f>
        <v>#N/A</v>
      </c>
      <c r="E43" t="e">
        <f>VLOOKUP($A43,'A Main Database'!$A:$R,5,0)</f>
        <v>#N/A</v>
      </c>
      <c r="F43" t="e">
        <f>VLOOKUP($A43,'A Main Database'!$A:$R,6,0)</f>
        <v>#N/A</v>
      </c>
      <c r="G43" t="e">
        <f>VLOOKUP($A43,'A Main Database'!$A:$R,7,0)</f>
        <v>#N/A</v>
      </c>
      <c r="H43" t="e">
        <f>VLOOKUP($A43,'A Main Database'!$A:$R,8,0)</f>
        <v>#N/A</v>
      </c>
      <c r="I43" t="e">
        <f>VLOOKUP($A43,'A Main Database'!$A:$R,9,0)</f>
        <v>#N/A</v>
      </c>
      <c r="J43" t="e">
        <f>VLOOKUP($A43,'A Main Database'!$A:$R,10,0)</f>
        <v>#N/A</v>
      </c>
      <c r="K43" t="e">
        <f>VLOOKUP($A43,'A Main Database'!$A:$R,11,0)</f>
        <v>#N/A</v>
      </c>
      <c r="L43" t="e">
        <f>VLOOKUP($A43,'A Main Database'!$A:$R,12,0)</f>
        <v>#N/A</v>
      </c>
      <c r="M43" t="e">
        <f>VLOOKUP($A43,'A Main Database'!$A:$R,13,0)</f>
        <v>#N/A</v>
      </c>
      <c r="N43" t="e">
        <f>VLOOKUP($A43,'A Main Database'!$A:$R,14,0)</f>
        <v>#N/A</v>
      </c>
      <c r="O43" t="e">
        <f>VLOOKUP($A43,'A Main Database'!$A:$R,15,0)</f>
        <v>#N/A</v>
      </c>
      <c r="P43" s="6" t="e">
        <f>VLOOKUP($A43,'A Main Database'!$A:$R,16,0)</f>
        <v>#N/A</v>
      </c>
      <c r="Q43" t="e">
        <f>VLOOKUP($A43,'A Main Database'!$A:$R,17,0)</f>
        <v>#N/A</v>
      </c>
      <c r="R43" t="e">
        <f>VLOOKUP($A43,'A Main Database'!$A:$R,18,0)</f>
        <v>#N/A</v>
      </c>
      <c r="S43" t="e">
        <f>VLOOKUP($A43,'A Main Database'!$A:$R,19,0)</f>
        <v>#N/A</v>
      </c>
      <c r="U43" t="e">
        <f>VLOOKUP(B43,'A Main Database'!A:A,1,0)</f>
        <v>#N/A</v>
      </c>
      <c r="V43" t="e">
        <f>VLOOKUP(B43,'A Main Database'!I:I,1,0)</f>
        <v>#N/A</v>
      </c>
      <c r="W43" t="e">
        <f>VLOOKUP(B43,'A Main Database'!M:M,1,0)</f>
        <v>#N/A</v>
      </c>
      <c r="X43" t="e">
        <f>VLOOKUP(B43,'A Main Database'!P:P,1,0)</f>
        <v>#N/A</v>
      </c>
      <c r="Y43" t="s">
        <v>287</v>
      </c>
      <c r="Z43" t="s">
        <v>292</v>
      </c>
      <c r="AA43" t="str">
        <f t="shared" si="1"/>
        <v>www.emutop.net/submit</v>
      </c>
    </row>
    <row r="44" spans="1:27" x14ac:dyDescent="0.25">
      <c r="A44" t="str">
        <f t="shared" si="0"/>
        <v>www.eqlic.com/submit</v>
      </c>
      <c r="B44" t="s">
        <v>100</v>
      </c>
      <c r="C44" s="4" t="e">
        <f>VLOOKUP($A44,'A Main Database'!$A:$R,3,0)</f>
        <v>#N/A</v>
      </c>
      <c r="D44" t="e">
        <f>VLOOKUP($A44,'A Main Database'!$A:$R,4,0)</f>
        <v>#N/A</v>
      </c>
      <c r="E44" t="e">
        <f>VLOOKUP($A44,'A Main Database'!$A:$R,5,0)</f>
        <v>#N/A</v>
      </c>
      <c r="F44" t="e">
        <f>VLOOKUP($A44,'A Main Database'!$A:$R,6,0)</f>
        <v>#N/A</v>
      </c>
      <c r="G44" t="e">
        <f>VLOOKUP($A44,'A Main Database'!$A:$R,7,0)</f>
        <v>#N/A</v>
      </c>
      <c r="H44" t="e">
        <f>VLOOKUP($A44,'A Main Database'!$A:$R,8,0)</f>
        <v>#N/A</v>
      </c>
      <c r="I44" t="e">
        <f>VLOOKUP($A44,'A Main Database'!$A:$R,9,0)</f>
        <v>#N/A</v>
      </c>
      <c r="J44" t="e">
        <f>VLOOKUP($A44,'A Main Database'!$A:$R,10,0)</f>
        <v>#N/A</v>
      </c>
      <c r="K44" t="e">
        <f>VLOOKUP($A44,'A Main Database'!$A:$R,11,0)</f>
        <v>#N/A</v>
      </c>
      <c r="L44" t="e">
        <f>VLOOKUP($A44,'A Main Database'!$A:$R,12,0)</f>
        <v>#N/A</v>
      </c>
      <c r="M44" t="e">
        <f>VLOOKUP($A44,'A Main Database'!$A:$R,13,0)</f>
        <v>#N/A</v>
      </c>
      <c r="N44" t="e">
        <f>VLOOKUP($A44,'A Main Database'!$A:$R,14,0)</f>
        <v>#N/A</v>
      </c>
      <c r="O44" t="e">
        <f>VLOOKUP($A44,'A Main Database'!$A:$R,15,0)</f>
        <v>#N/A</v>
      </c>
      <c r="P44" s="6" t="e">
        <f>VLOOKUP($A44,'A Main Database'!$A:$R,16,0)</f>
        <v>#N/A</v>
      </c>
      <c r="Q44" t="e">
        <f>VLOOKUP($A44,'A Main Database'!$A:$R,17,0)</f>
        <v>#N/A</v>
      </c>
      <c r="R44" t="e">
        <f>VLOOKUP($A44,'A Main Database'!$A:$R,18,0)</f>
        <v>#N/A</v>
      </c>
      <c r="S44" t="e">
        <f>VLOOKUP($A44,'A Main Database'!$A:$R,19,0)</f>
        <v>#N/A</v>
      </c>
      <c r="U44" t="e">
        <f>VLOOKUP(B44,'A Main Database'!A:A,1,0)</f>
        <v>#N/A</v>
      </c>
      <c r="V44" t="e">
        <f>VLOOKUP(B44,'A Main Database'!I:I,1,0)</f>
        <v>#N/A</v>
      </c>
      <c r="W44" t="e">
        <f>VLOOKUP(B44,'A Main Database'!M:M,1,0)</f>
        <v>#N/A</v>
      </c>
      <c r="X44" t="e">
        <f>VLOOKUP(B44,'A Main Database'!P:P,1,0)</f>
        <v>#N/A</v>
      </c>
      <c r="Y44" t="s">
        <v>287</v>
      </c>
      <c r="Z44" t="s">
        <v>292</v>
      </c>
      <c r="AA44" t="str">
        <f t="shared" si="1"/>
        <v>www.eqlic.com/submit</v>
      </c>
    </row>
    <row r="45" spans="1:27" x14ac:dyDescent="0.25">
      <c r="A45" t="str">
        <f t="shared" si="0"/>
        <v>www.fyple.ca/submit</v>
      </c>
      <c r="B45" t="s">
        <v>101</v>
      </c>
      <c r="C45" s="4" t="e">
        <f>VLOOKUP($A45,'A Main Database'!$A:$R,3,0)</f>
        <v>#N/A</v>
      </c>
      <c r="D45" t="e">
        <f>VLOOKUP($A45,'A Main Database'!$A:$R,4,0)</f>
        <v>#N/A</v>
      </c>
      <c r="E45" t="e">
        <f>VLOOKUP($A45,'A Main Database'!$A:$R,5,0)</f>
        <v>#N/A</v>
      </c>
      <c r="F45" t="e">
        <f>VLOOKUP($A45,'A Main Database'!$A:$R,6,0)</f>
        <v>#N/A</v>
      </c>
      <c r="G45" t="e">
        <f>VLOOKUP($A45,'A Main Database'!$A:$R,7,0)</f>
        <v>#N/A</v>
      </c>
      <c r="H45" t="e">
        <f>VLOOKUP($A45,'A Main Database'!$A:$R,8,0)</f>
        <v>#N/A</v>
      </c>
      <c r="I45" t="e">
        <f>VLOOKUP($A45,'A Main Database'!$A:$R,9,0)</f>
        <v>#N/A</v>
      </c>
      <c r="J45" t="e">
        <f>VLOOKUP($A45,'A Main Database'!$A:$R,10,0)</f>
        <v>#N/A</v>
      </c>
      <c r="K45" t="e">
        <f>VLOOKUP($A45,'A Main Database'!$A:$R,11,0)</f>
        <v>#N/A</v>
      </c>
      <c r="L45" t="e">
        <f>VLOOKUP($A45,'A Main Database'!$A:$R,12,0)</f>
        <v>#N/A</v>
      </c>
      <c r="M45" t="e">
        <f>VLOOKUP($A45,'A Main Database'!$A:$R,13,0)</f>
        <v>#N/A</v>
      </c>
      <c r="N45" t="e">
        <f>VLOOKUP($A45,'A Main Database'!$A:$R,14,0)</f>
        <v>#N/A</v>
      </c>
      <c r="O45" t="e">
        <f>VLOOKUP($A45,'A Main Database'!$A:$R,15,0)</f>
        <v>#N/A</v>
      </c>
      <c r="P45" s="6" t="e">
        <f>VLOOKUP($A45,'A Main Database'!$A:$R,16,0)</f>
        <v>#N/A</v>
      </c>
      <c r="Q45" t="e">
        <f>VLOOKUP($A45,'A Main Database'!$A:$R,17,0)</f>
        <v>#N/A</v>
      </c>
      <c r="R45" t="e">
        <f>VLOOKUP($A45,'A Main Database'!$A:$R,18,0)</f>
        <v>#N/A</v>
      </c>
      <c r="S45" t="e">
        <f>VLOOKUP($A45,'A Main Database'!$A:$R,19,0)</f>
        <v>#N/A</v>
      </c>
      <c r="U45" t="e">
        <f>VLOOKUP(B45,'A Main Database'!A:A,1,0)</f>
        <v>#N/A</v>
      </c>
      <c r="V45" t="e">
        <f>VLOOKUP(B45,'A Main Database'!I:I,1,0)</f>
        <v>#N/A</v>
      </c>
      <c r="W45" t="e">
        <f>VLOOKUP(B45,'A Main Database'!M:M,1,0)</f>
        <v>#N/A</v>
      </c>
      <c r="X45" t="e">
        <f>VLOOKUP(B45,'A Main Database'!P:P,1,0)</f>
        <v>#N/A</v>
      </c>
      <c r="Y45" t="s">
        <v>287</v>
      </c>
      <c r="Z45" t="s">
        <v>292</v>
      </c>
      <c r="AA45" t="str">
        <f t="shared" si="1"/>
        <v>www.fyple.ca/submit</v>
      </c>
    </row>
    <row r="46" spans="1:27" x14ac:dyDescent="0.25">
      <c r="A46" t="str">
        <f t="shared" si="0"/>
        <v>www.hisearch.today/submit</v>
      </c>
      <c r="B46" t="s">
        <v>102</v>
      </c>
      <c r="C46" s="4" t="e">
        <f>VLOOKUP($A46,'A Main Database'!$A:$R,3,0)</f>
        <v>#N/A</v>
      </c>
      <c r="D46" t="e">
        <f>VLOOKUP($A46,'A Main Database'!$A:$R,4,0)</f>
        <v>#N/A</v>
      </c>
      <c r="E46" t="e">
        <f>VLOOKUP($A46,'A Main Database'!$A:$R,5,0)</f>
        <v>#N/A</v>
      </c>
      <c r="F46" t="e">
        <f>VLOOKUP($A46,'A Main Database'!$A:$R,6,0)</f>
        <v>#N/A</v>
      </c>
      <c r="G46" t="e">
        <f>VLOOKUP($A46,'A Main Database'!$A:$R,7,0)</f>
        <v>#N/A</v>
      </c>
      <c r="H46" t="e">
        <f>VLOOKUP($A46,'A Main Database'!$A:$R,8,0)</f>
        <v>#N/A</v>
      </c>
      <c r="I46" t="e">
        <f>VLOOKUP($A46,'A Main Database'!$A:$R,9,0)</f>
        <v>#N/A</v>
      </c>
      <c r="J46" t="e">
        <f>VLOOKUP($A46,'A Main Database'!$A:$R,10,0)</f>
        <v>#N/A</v>
      </c>
      <c r="K46" t="e">
        <f>VLOOKUP($A46,'A Main Database'!$A:$R,11,0)</f>
        <v>#N/A</v>
      </c>
      <c r="L46" t="e">
        <f>VLOOKUP($A46,'A Main Database'!$A:$R,12,0)</f>
        <v>#N/A</v>
      </c>
      <c r="M46" t="e">
        <f>VLOOKUP($A46,'A Main Database'!$A:$R,13,0)</f>
        <v>#N/A</v>
      </c>
      <c r="N46" t="e">
        <f>VLOOKUP($A46,'A Main Database'!$A:$R,14,0)</f>
        <v>#N/A</v>
      </c>
      <c r="O46" t="e">
        <f>VLOOKUP($A46,'A Main Database'!$A:$R,15,0)</f>
        <v>#N/A</v>
      </c>
      <c r="P46" s="6" t="e">
        <f>VLOOKUP($A46,'A Main Database'!$A:$R,16,0)</f>
        <v>#N/A</v>
      </c>
      <c r="Q46" t="e">
        <f>VLOOKUP($A46,'A Main Database'!$A:$R,17,0)</f>
        <v>#N/A</v>
      </c>
      <c r="R46" t="e">
        <f>VLOOKUP($A46,'A Main Database'!$A:$R,18,0)</f>
        <v>#N/A</v>
      </c>
      <c r="S46" t="e">
        <f>VLOOKUP($A46,'A Main Database'!$A:$R,19,0)</f>
        <v>#N/A</v>
      </c>
      <c r="U46" t="e">
        <f>VLOOKUP(B46,'A Main Database'!A:A,1,0)</f>
        <v>#N/A</v>
      </c>
      <c r="V46" t="e">
        <f>VLOOKUP(B46,'A Main Database'!I:I,1,0)</f>
        <v>#N/A</v>
      </c>
      <c r="W46" t="e">
        <f>VLOOKUP(B46,'A Main Database'!M:M,1,0)</f>
        <v>#N/A</v>
      </c>
      <c r="X46" t="e">
        <f>VLOOKUP(B46,'A Main Database'!P:P,1,0)</f>
        <v>#N/A</v>
      </c>
      <c r="Y46" t="s">
        <v>287</v>
      </c>
      <c r="Z46" t="s">
        <v>292</v>
      </c>
      <c r="AA46" t="str">
        <f t="shared" si="1"/>
        <v>www.hisearch.today/submit</v>
      </c>
    </row>
    <row r="47" spans="1:27" x14ac:dyDescent="0.25">
      <c r="A47" t="str">
        <f t="shared" si="0"/>
        <v>www.ic.gc.ca/submit</v>
      </c>
      <c r="B47" t="s">
        <v>103</v>
      </c>
      <c r="C47" s="4" t="e">
        <f>VLOOKUP($A47,'A Main Database'!$A:$R,3,0)</f>
        <v>#N/A</v>
      </c>
      <c r="D47" t="e">
        <f>VLOOKUP($A47,'A Main Database'!$A:$R,4,0)</f>
        <v>#N/A</v>
      </c>
      <c r="E47" t="e">
        <f>VLOOKUP($A47,'A Main Database'!$A:$R,5,0)</f>
        <v>#N/A</v>
      </c>
      <c r="F47" t="e">
        <f>VLOOKUP($A47,'A Main Database'!$A:$R,6,0)</f>
        <v>#N/A</v>
      </c>
      <c r="G47" t="e">
        <f>VLOOKUP($A47,'A Main Database'!$A:$R,7,0)</f>
        <v>#N/A</v>
      </c>
      <c r="H47" t="e">
        <f>VLOOKUP($A47,'A Main Database'!$A:$R,8,0)</f>
        <v>#N/A</v>
      </c>
      <c r="I47" t="e">
        <f>VLOOKUP($A47,'A Main Database'!$A:$R,9,0)</f>
        <v>#N/A</v>
      </c>
      <c r="J47" t="e">
        <f>VLOOKUP($A47,'A Main Database'!$A:$R,10,0)</f>
        <v>#N/A</v>
      </c>
      <c r="K47" t="e">
        <f>VLOOKUP($A47,'A Main Database'!$A:$R,11,0)</f>
        <v>#N/A</v>
      </c>
      <c r="L47" t="e">
        <f>VLOOKUP($A47,'A Main Database'!$A:$R,12,0)</f>
        <v>#N/A</v>
      </c>
      <c r="M47" t="e">
        <f>VLOOKUP($A47,'A Main Database'!$A:$R,13,0)</f>
        <v>#N/A</v>
      </c>
      <c r="N47" t="e">
        <f>VLOOKUP($A47,'A Main Database'!$A:$R,14,0)</f>
        <v>#N/A</v>
      </c>
      <c r="O47" t="e">
        <f>VLOOKUP($A47,'A Main Database'!$A:$R,15,0)</f>
        <v>#N/A</v>
      </c>
      <c r="P47" s="6" t="e">
        <f>VLOOKUP($A47,'A Main Database'!$A:$R,16,0)</f>
        <v>#N/A</v>
      </c>
      <c r="Q47" t="e">
        <f>VLOOKUP($A47,'A Main Database'!$A:$R,17,0)</f>
        <v>#N/A</v>
      </c>
      <c r="R47" t="e">
        <f>VLOOKUP($A47,'A Main Database'!$A:$R,18,0)</f>
        <v>#N/A</v>
      </c>
      <c r="S47" t="e">
        <f>VLOOKUP($A47,'A Main Database'!$A:$R,19,0)</f>
        <v>#N/A</v>
      </c>
      <c r="U47" t="e">
        <f>VLOOKUP(B47,'A Main Database'!A:A,1,0)</f>
        <v>#N/A</v>
      </c>
      <c r="V47" t="e">
        <f>VLOOKUP(B47,'A Main Database'!I:I,1,0)</f>
        <v>#N/A</v>
      </c>
      <c r="W47" t="e">
        <f>VLOOKUP(B47,'A Main Database'!M:M,1,0)</f>
        <v>#N/A</v>
      </c>
      <c r="X47" t="e">
        <f>VLOOKUP(B47,'A Main Database'!P:P,1,0)</f>
        <v>#N/A</v>
      </c>
      <c r="Y47" t="s">
        <v>287</v>
      </c>
      <c r="Z47" t="s">
        <v>292</v>
      </c>
      <c r="AA47" t="str">
        <f t="shared" si="1"/>
        <v>www.ic.gc.ca/submit</v>
      </c>
    </row>
    <row r="48" spans="1:27" x14ac:dyDescent="0.25">
      <c r="A48" t="str">
        <f t="shared" si="0"/>
        <v>www.nexdu.com/submit</v>
      </c>
      <c r="B48" t="s">
        <v>104</v>
      </c>
      <c r="C48" s="4" t="e">
        <f>VLOOKUP($A48,'A Main Database'!$A:$R,3,0)</f>
        <v>#N/A</v>
      </c>
      <c r="D48" t="e">
        <f>VLOOKUP($A48,'A Main Database'!$A:$R,4,0)</f>
        <v>#N/A</v>
      </c>
      <c r="E48" t="e">
        <f>VLOOKUP($A48,'A Main Database'!$A:$R,5,0)</f>
        <v>#N/A</v>
      </c>
      <c r="F48" t="e">
        <f>VLOOKUP($A48,'A Main Database'!$A:$R,6,0)</f>
        <v>#N/A</v>
      </c>
      <c r="G48" t="e">
        <f>VLOOKUP($A48,'A Main Database'!$A:$R,7,0)</f>
        <v>#N/A</v>
      </c>
      <c r="H48" t="e">
        <f>VLOOKUP($A48,'A Main Database'!$A:$R,8,0)</f>
        <v>#N/A</v>
      </c>
      <c r="I48" t="e">
        <f>VLOOKUP($A48,'A Main Database'!$A:$R,9,0)</f>
        <v>#N/A</v>
      </c>
      <c r="J48" t="e">
        <f>VLOOKUP($A48,'A Main Database'!$A:$R,10,0)</f>
        <v>#N/A</v>
      </c>
      <c r="K48" t="e">
        <f>VLOOKUP($A48,'A Main Database'!$A:$R,11,0)</f>
        <v>#N/A</v>
      </c>
      <c r="L48" t="e">
        <f>VLOOKUP($A48,'A Main Database'!$A:$R,12,0)</f>
        <v>#N/A</v>
      </c>
      <c r="M48" t="e">
        <f>VLOOKUP($A48,'A Main Database'!$A:$R,13,0)</f>
        <v>#N/A</v>
      </c>
      <c r="N48" t="e">
        <f>VLOOKUP($A48,'A Main Database'!$A:$R,14,0)</f>
        <v>#N/A</v>
      </c>
      <c r="O48" t="e">
        <f>VLOOKUP($A48,'A Main Database'!$A:$R,15,0)</f>
        <v>#N/A</v>
      </c>
      <c r="P48" s="6" t="e">
        <f>VLOOKUP($A48,'A Main Database'!$A:$R,16,0)</f>
        <v>#N/A</v>
      </c>
      <c r="Q48" t="e">
        <f>VLOOKUP($A48,'A Main Database'!$A:$R,17,0)</f>
        <v>#N/A</v>
      </c>
      <c r="R48" t="e">
        <f>VLOOKUP($A48,'A Main Database'!$A:$R,18,0)</f>
        <v>#N/A</v>
      </c>
      <c r="S48" t="e">
        <f>VLOOKUP($A48,'A Main Database'!$A:$R,19,0)</f>
        <v>#N/A</v>
      </c>
      <c r="U48" t="e">
        <f>VLOOKUP(B48,'A Main Database'!A:A,1,0)</f>
        <v>#N/A</v>
      </c>
      <c r="V48" t="e">
        <f>VLOOKUP(B48,'A Main Database'!I:I,1,0)</f>
        <v>#N/A</v>
      </c>
      <c r="W48" t="e">
        <f>VLOOKUP(B48,'A Main Database'!M:M,1,0)</f>
        <v>#N/A</v>
      </c>
      <c r="X48" t="e">
        <f>VLOOKUP(B48,'A Main Database'!P:P,1,0)</f>
        <v>#N/A</v>
      </c>
      <c r="Y48" t="s">
        <v>287</v>
      </c>
      <c r="Z48" t="s">
        <v>292</v>
      </c>
      <c r="AA48" t="str">
        <f t="shared" si="1"/>
        <v>www.nexdu.com/submit</v>
      </c>
    </row>
    <row r="49" spans="1:27" x14ac:dyDescent="0.25">
      <c r="A49" t="str">
        <f t="shared" si="0"/>
        <v>www.ottawamove.com/submit</v>
      </c>
      <c r="B49" t="s">
        <v>105</v>
      </c>
      <c r="C49" s="4" t="e">
        <f>VLOOKUP($A49,'A Main Database'!$A:$R,3,0)</f>
        <v>#N/A</v>
      </c>
      <c r="D49" t="e">
        <f>VLOOKUP($A49,'A Main Database'!$A:$R,4,0)</f>
        <v>#N/A</v>
      </c>
      <c r="E49" t="e">
        <f>VLOOKUP($A49,'A Main Database'!$A:$R,5,0)</f>
        <v>#N/A</v>
      </c>
      <c r="F49" t="e">
        <f>VLOOKUP($A49,'A Main Database'!$A:$R,6,0)</f>
        <v>#N/A</v>
      </c>
      <c r="G49" t="e">
        <f>VLOOKUP($A49,'A Main Database'!$A:$R,7,0)</f>
        <v>#N/A</v>
      </c>
      <c r="H49" t="e">
        <f>VLOOKUP($A49,'A Main Database'!$A:$R,8,0)</f>
        <v>#N/A</v>
      </c>
      <c r="I49" t="e">
        <f>VLOOKUP($A49,'A Main Database'!$A:$R,9,0)</f>
        <v>#N/A</v>
      </c>
      <c r="J49" t="e">
        <f>VLOOKUP($A49,'A Main Database'!$A:$R,10,0)</f>
        <v>#N/A</v>
      </c>
      <c r="K49" t="e">
        <f>VLOOKUP($A49,'A Main Database'!$A:$R,11,0)</f>
        <v>#N/A</v>
      </c>
      <c r="L49" t="e">
        <f>VLOOKUP($A49,'A Main Database'!$A:$R,12,0)</f>
        <v>#N/A</v>
      </c>
      <c r="M49" t="e">
        <f>VLOOKUP($A49,'A Main Database'!$A:$R,13,0)</f>
        <v>#N/A</v>
      </c>
      <c r="N49" t="e">
        <f>VLOOKUP($A49,'A Main Database'!$A:$R,14,0)</f>
        <v>#N/A</v>
      </c>
      <c r="O49" t="e">
        <f>VLOOKUP($A49,'A Main Database'!$A:$R,15,0)</f>
        <v>#N/A</v>
      </c>
      <c r="P49" s="6" t="e">
        <f>VLOOKUP($A49,'A Main Database'!$A:$R,16,0)</f>
        <v>#N/A</v>
      </c>
      <c r="Q49" t="e">
        <f>VLOOKUP($A49,'A Main Database'!$A:$R,17,0)</f>
        <v>#N/A</v>
      </c>
      <c r="R49" t="e">
        <f>VLOOKUP($A49,'A Main Database'!$A:$R,18,0)</f>
        <v>#N/A</v>
      </c>
      <c r="S49" t="e">
        <f>VLOOKUP($A49,'A Main Database'!$A:$R,19,0)</f>
        <v>#N/A</v>
      </c>
      <c r="U49" t="e">
        <f>VLOOKUP(B49,'A Main Database'!A:A,1,0)</f>
        <v>#N/A</v>
      </c>
      <c r="V49" t="e">
        <f>VLOOKUP(B49,'A Main Database'!I:I,1,0)</f>
        <v>#N/A</v>
      </c>
      <c r="W49" t="e">
        <f>VLOOKUP(B49,'A Main Database'!M:M,1,0)</f>
        <v>#N/A</v>
      </c>
      <c r="X49" t="e">
        <f>VLOOKUP(B49,'A Main Database'!P:P,1,0)</f>
        <v>#N/A</v>
      </c>
      <c r="Y49" t="s">
        <v>287</v>
      </c>
      <c r="Z49" t="s">
        <v>292</v>
      </c>
      <c r="AA49" t="str">
        <f t="shared" si="1"/>
        <v>www.ottawamove.com/submit</v>
      </c>
    </row>
    <row r="50" spans="1:27" x14ac:dyDescent="0.25">
      <c r="A50" t="str">
        <f t="shared" si="0"/>
        <v>www.seekon.com/submit</v>
      </c>
      <c r="B50" t="s">
        <v>106</v>
      </c>
      <c r="C50" s="4" t="e">
        <f>VLOOKUP($A50,'A Main Database'!$A:$R,3,0)</f>
        <v>#N/A</v>
      </c>
      <c r="D50" t="e">
        <f>VLOOKUP($A50,'A Main Database'!$A:$R,4,0)</f>
        <v>#N/A</v>
      </c>
      <c r="E50" t="e">
        <f>VLOOKUP($A50,'A Main Database'!$A:$R,5,0)</f>
        <v>#N/A</v>
      </c>
      <c r="F50" t="e">
        <f>VLOOKUP($A50,'A Main Database'!$A:$R,6,0)</f>
        <v>#N/A</v>
      </c>
      <c r="G50" t="e">
        <f>VLOOKUP($A50,'A Main Database'!$A:$R,7,0)</f>
        <v>#N/A</v>
      </c>
      <c r="H50" t="e">
        <f>VLOOKUP($A50,'A Main Database'!$A:$R,8,0)</f>
        <v>#N/A</v>
      </c>
      <c r="I50" t="e">
        <f>VLOOKUP($A50,'A Main Database'!$A:$R,9,0)</f>
        <v>#N/A</v>
      </c>
      <c r="J50" t="e">
        <f>VLOOKUP($A50,'A Main Database'!$A:$R,10,0)</f>
        <v>#N/A</v>
      </c>
      <c r="K50" t="e">
        <f>VLOOKUP($A50,'A Main Database'!$A:$R,11,0)</f>
        <v>#N/A</v>
      </c>
      <c r="L50" t="e">
        <f>VLOOKUP($A50,'A Main Database'!$A:$R,12,0)</f>
        <v>#N/A</v>
      </c>
      <c r="M50" t="e">
        <f>VLOOKUP($A50,'A Main Database'!$A:$R,13,0)</f>
        <v>#N/A</v>
      </c>
      <c r="N50" t="e">
        <f>VLOOKUP($A50,'A Main Database'!$A:$R,14,0)</f>
        <v>#N/A</v>
      </c>
      <c r="O50" t="e">
        <f>VLOOKUP($A50,'A Main Database'!$A:$R,15,0)</f>
        <v>#N/A</v>
      </c>
      <c r="P50" s="6" t="e">
        <f>VLOOKUP($A50,'A Main Database'!$A:$R,16,0)</f>
        <v>#N/A</v>
      </c>
      <c r="Q50" t="e">
        <f>VLOOKUP($A50,'A Main Database'!$A:$R,17,0)</f>
        <v>#N/A</v>
      </c>
      <c r="R50" t="e">
        <f>VLOOKUP($A50,'A Main Database'!$A:$R,18,0)</f>
        <v>#N/A</v>
      </c>
      <c r="S50" t="e">
        <f>VLOOKUP($A50,'A Main Database'!$A:$R,19,0)</f>
        <v>#N/A</v>
      </c>
      <c r="U50" t="e">
        <f>VLOOKUP(B50,'A Main Database'!A:A,1,0)</f>
        <v>#N/A</v>
      </c>
      <c r="V50" t="e">
        <f>VLOOKUP(B50,'A Main Database'!I:I,1,0)</f>
        <v>#N/A</v>
      </c>
      <c r="W50" t="e">
        <f>VLOOKUP(B50,'A Main Database'!M:M,1,0)</f>
        <v>#N/A</v>
      </c>
      <c r="X50" t="e">
        <f>VLOOKUP(B50,'A Main Database'!P:P,1,0)</f>
        <v>#N/A</v>
      </c>
      <c r="Y50" t="s">
        <v>287</v>
      </c>
      <c r="Z50" t="s">
        <v>292</v>
      </c>
      <c r="AA50" t="str">
        <f t="shared" si="1"/>
        <v>www.seekon.com/submit</v>
      </c>
    </row>
    <row r="51" spans="1:27" x14ac:dyDescent="0.25">
      <c r="A51" t="str">
        <f t="shared" si="0"/>
        <v>www.sitedownrightnow.com/submit</v>
      </c>
      <c r="B51" t="s">
        <v>107</v>
      </c>
      <c r="C51" s="4" t="e">
        <f>VLOOKUP($A51,'A Main Database'!$A:$R,3,0)</f>
        <v>#N/A</v>
      </c>
      <c r="D51" t="e">
        <f>VLOOKUP($A51,'A Main Database'!$A:$R,4,0)</f>
        <v>#N/A</v>
      </c>
      <c r="E51" t="e">
        <f>VLOOKUP($A51,'A Main Database'!$A:$R,5,0)</f>
        <v>#N/A</v>
      </c>
      <c r="F51" t="e">
        <f>VLOOKUP($A51,'A Main Database'!$A:$R,6,0)</f>
        <v>#N/A</v>
      </c>
      <c r="G51" t="e">
        <f>VLOOKUP($A51,'A Main Database'!$A:$R,7,0)</f>
        <v>#N/A</v>
      </c>
      <c r="H51" t="e">
        <f>VLOOKUP($A51,'A Main Database'!$A:$R,8,0)</f>
        <v>#N/A</v>
      </c>
      <c r="I51" t="e">
        <f>VLOOKUP($A51,'A Main Database'!$A:$R,9,0)</f>
        <v>#N/A</v>
      </c>
      <c r="J51" t="e">
        <f>VLOOKUP($A51,'A Main Database'!$A:$R,10,0)</f>
        <v>#N/A</v>
      </c>
      <c r="K51" t="e">
        <f>VLOOKUP($A51,'A Main Database'!$A:$R,11,0)</f>
        <v>#N/A</v>
      </c>
      <c r="L51" t="e">
        <f>VLOOKUP($A51,'A Main Database'!$A:$R,12,0)</f>
        <v>#N/A</v>
      </c>
      <c r="M51" t="e">
        <f>VLOOKUP($A51,'A Main Database'!$A:$R,13,0)</f>
        <v>#N/A</v>
      </c>
      <c r="N51" t="e">
        <f>VLOOKUP($A51,'A Main Database'!$A:$R,14,0)</f>
        <v>#N/A</v>
      </c>
      <c r="O51" t="e">
        <f>VLOOKUP($A51,'A Main Database'!$A:$R,15,0)</f>
        <v>#N/A</v>
      </c>
      <c r="P51" s="6" t="e">
        <f>VLOOKUP($A51,'A Main Database'!$A:$R,16,0)</f>
        <v>#N/A</v>
      </c>
      <c r="Q51" t="e">
        <f>VLOOKUP($A51,'A Main Database'!$A:$R,17,0)</f>
        <v>#N/A</v>
      </c>
      <c r="R51" t="e">
        <f>VLOOKUP($A51,'A Main Database'!$A:$R,18,0)</f>
        <v>#N/A</v>
      </c>
      <c r="S51" t="e">
        <f>VLOOKUP($A51,'A Main Database'!$A:$R,19,0)</f>
        <v>#N/A</v>
      </c>
      <c r="U51" t="e">
        <f>VLOOKUP(B51,'A Main Database'!A:A,1,0)</f>
        <v>#N/A</v>
      </c>
      <c r="V51" t="e">
        <f>VLOOKUP(B51,'A Main Database'!I:I,1,0)</f>
        <v>#N/A</v>
      </c>
      <c r="W51" t="e">
        <f>VLOOKUP(B51,'A Main Database'!M:M,1,0)</f>
        <v>#N/A</v>
      </c>
      <c r="X51" t="e">
        <f>VLOOKUP(B51,'A Main Database'!P:P,1,0)</f>
        <v>#N/A</v>
      </c>
      <c r="Y51" t="s">
        <v>287</v>
      </c>
      <c r="Z51" t="s">
        <v>292</v>
      </c>
      <c r="AA51" t="str">
        <f t="shared" si="1"/>
        <v>www.sitedownrightnow.com/submit</v>
      </c>
    </row>
    <row r="52" spans="1:27" x14ac:dyDescent="0.25">
      <c r="A52" t="str">
        <f t="shared" si="0"/>
        <v>www.300blackbroth.com/submit</v>
      </c>
      <c r="B52" t="s">
        <v>130</v>
      </c>
      <c r="C52" s="4" t="e">
        <f>VLOOKUP($A52,'A Main Database'!$A:$R,3,0)</f>
        <v>#N/A</v>
      </c>
      <c r="D52" t="e">
        <f>VLOOKUP($A52,'A Main Database'!$A:$R,4,0)</f>
        <v>#N/A</v>
      </c>
      <c r="E52" t="e">
        <f>VLOOKUP($A52,'A Main Database'!$A:$R,5,0)</f>
        <v>#N/A</v>
      </c>
      <c r="F52" t="e">
        <f>VLOOKUP($A52,'A Main Database'!$A:$R,6,0)</f>
        <v>#N/A</v>
      </c>
      <c r="G52" t="e">
        <f>VLOOKUP($A52,'A Main Database'!$A:$R,7,0)</f>
        <v>#N/A</v>
      </c>
      <c r="H52" t="e">
        <f>VLOOKUP($A52,'A Main Database'!$A:$R,8,0)</f>
        <v>#N/A</v>
      </c>
      <c r="I52" t="e">
        <f>VLOOKUP($A52,'A Main Database'!$A:$R,9,0)</f>
        <v>#N/A</v>
      </c>
      <c r="J52" t="e">
        <f>VLOOKUP($A52,'A Main Database'!$A:$R,10,0)</f>
        <v>#N/A</v>
      </c>
      <c r="K52" t="e">
        <f>VLOOKUP($A52,'A Main Database'!$A:$R,11,0)</f>
        <v>#N/A</v>
      </c>
      <c r="L52" t="e">
        <f>VLOOKUP($A52,'A Main Database'!$A:$R,12,0)</f>
        <v>#N/A</v>
      </c>
      <c r="M52" t="e">
        <f>VLOOKUP($A52,'A Main Database'!$A:$R,13,0)</f>
        <v>#N/A</v>
      </c>
      <c r="N52" t="e">
        <f>VLOOKUP($A52,'A Main Database'!$A:$R,14,0)</f>
        <v>#N/A</v>
      </c>
      <c r="O52" t="e">
        <f>VLOOKUP($A52,'A Main Database'!$A:$R,15,0)</f>
        <v>#N/A</v>
      </c>
      <c r="P52" s="6" t="e">
        <f>VLOOKUP($A52,'A Main Database'!$A:$R,16,0)</f>
        <v>#N/A</v>
      </c>
      <c r="Q52" t="e">
        <f>VLOOKUP($A52,'A Main Database'!$A:$R,17,0)</f>
        <v>#N/A</v>
      </c>
      <c r="R52" t="e">
        <f>VLOOKUP($A52,'A Main Database'!$A:$R,18,0)</f>
        <v>#N/A</v>
      </c>
      <c r="S52" t="e">
        <f>VLOOKUP($A52,'A Main Database'!$A:$R,19,0)</f>
        <v>#N/A</v>
      </c>
      <c r="U52" t="e">
        <f>VLOOKUP(B52,'A Main Database'!A:A,1,0)</f>
        <v>#N/A</v>
      </c>
      <c r="V52" t="e">
        <f>VLOOKUP(B52,'A Main Database'!I:I,1,0)</f>
        <v>#N/A</v>
      </c>
      <c r="W52" t="e">
        <f>VLOOKUP(B52,'A Main Database'!M:M,1,0)</f>
        <v>#N/A</v>
      </c>
      <c r="X52" t="e">
        <f>VLOOKUP(B52,'A Main Database'!P:P,1,0)</f>
        <v>#N/A</v>
      </c>
      <c r="Y52" t="s">
        <v>287</v>
      </c>
      <c r="Z52" t="s">
        <v>292</v>
      </c>
      <c r="AA52" t="str">
        <f t="shared" si="1"/>
        <v>www.300blackbroth.com/submit</v>
      </c>
    </row>
    <row r="53" spans="1:27" x14ac:dyDescent="0.25">
      <c r="A53" t="str">
        <f t="shared" si="0"/>
        <v>www.aboutus.com/submit</v>
      </c>
      <c r="B53" t="s">
        <v>131</v>
      </c>
      <c r="C53" s="4" t="e">
        <f>VLOOKUP($A53,'A Main Database'!$A:$R,3,0)</f>
        <v>#N/A</v>
      </c>
      <c r="D53" t="e">
        <f>VLOOKUP($A53,'A Main Database'!$A:$R,4,0)</f>
        <v>#N/A</v>
      </c>
      <c r="E53" t="e">
        <f>VLOOKUP($A53,'A Main Database'!$A:$R,5,0)</f>
        <v>#N/A</v>
      </c>
      <c r="F53" t="e">
        <f>VLOOKUP($A53,'A Main Database'!$A:$R,6,0)</f>
        <v>#N/A</v>
      </c>
      <c r="G53" t="e">
        <f>VLOOKUP($A53,'A Main Database'!$A:$R,7,0)</f>
        <v>#N/A</v>
      </c>
      <c r="H53" t="e">
        <f>VLOOKUP($A53,'A Main Database'!$A:$R,8,0)</f>
        <v>#N/A</v>
      </c>
      <c r="I53" t="e">
        <f>VLOOKUP($A53,'A Main Database'!$A:$R,9,0)</f>
        <v>#N/A</v>
      </c>
      <c r="J53" t="e">
        <f>VLOOKUP($A53,'A Main Database'!$A:$R,10,0)</f>
        <v>#N/A</v>
      </c>
      <c r="K53" t="e">
        <f>VLOOKUP($A53,'A Main Database'!$A:$R,11,0)</f>
        <v>#N/A</v>
      </c>
      <c r="L53" t="e">
        <f>VLOOKUP($A53,'A Main Database'!$A:$R,12,0)</f>
        <v>#N/A</v>
      </c>
      <c r="M53" t="e">
        <f>VLOOKUP($A53,'A Main Database'!$A:$R,13,0)</f>
        <v>#N/A</v>
      </c>
      <c r="N53" t="e">
        <f>VLOOKUP($A53,'A Main Database'!$A:$R,14,0)</f>
        <v>#N/A</v>
      </c>
      <c r="O53" t="e">
        <f>VLOOKUP($A53,'A Main Database'!$A:$R,15,0)</f>
        <v>#N/A</v>
      </c>
      <c r="P53" s="6" t="e">
        <f>VLOOKUP($A53,'A Main Database'!$A:$R,16,0)</f>
        <v>#N/A</v>
      </c>
      <c r="Q53" t="e">
        <f>VLOOKUP($A53,'A Main Database'!$A:$R,17,0)</f>
        <v>#N/A</v>
      </c>
      <c r="R53" t="e">
        <f>VLOOKUP($A53,'A Main Database'!$A:$R,18,0)</f>
        <v>#N/A</v>
      </c>
      <c r="S53" t="e">
        <f>VLOOKUP($A53,'A Main Database'!$A:$R,19,0)</f>
        <v>#N/A</v>
      </c>
      <c r="U53" t="e">
        <f>VLOOKUP(B53,'A Main Database'!A:A,1,0)</f>
        <v>#N/A</v>
      </c>
      <c r="V53" t="e">
        <f>VLOOKUP(B53,'A Main Database'!I:I,1,0)</f>
        <v>#N/A</v>
      </c>
      <c r="W53" t="e">
        <f>VLOOKUP(B53,'A Main Database'!M:M,1,0)</f>
        <v>#N/A</v>
      </c>
      <c r="X53" t="e">
        <f>VLOOKUP(B53,'A Main Database'!P:P,1,0)</f>
        <v>#N/A</v>
      </c>
      <c r="Y53" t="s">
        <v>287</v>
      </c>
      <c r="Z53" t="s">
        <v>292</v>
      </c>
      <c r="AA53" t="str">
        <f t="shared" si="1"/>
        <v>www.aboutus.com/submit</v>
      </c>
    </row>
    <row r="54" spans="1:27" x14ac:dyDescent="0.25">
      <c r="A54" t="str">
        <f t="shared" si="0"/>
        <v>http://injoybusiness.co/submit</v>
      </c>
      <c r="B54" t="s">
        <v>132</v>
      </c>
      <c r="C54" s="4" t="e">
        <f>VLOOKUP($A54,'A Main Database'!$A:$R,3,0)</f>
        <v>#N/A</v>
      </c>
      <c r="D54" t="e">
        <f>VLOOKUP($A54,'A Main Database'!$A:$R,4,0)</f>
        <v>#N/A</v>
      </c>
      <c r="E54" t="e">
        <f>VLOOKUP($A54,'A Main Database'!$A:$R,5,0)</f>
        <v>#N/A</v>
      </c>
      <c r="F54" t="e">
        <f>VLOOKUP($A54,'A Main Database'!$A:$R,6,0)</f>
        <v>#N/A</v>
      </c>
      <c r="G54" t="e">
        <f>VLOOKUP($A54,'A Main Database'!$A:$R,7,0)</f>
        <v>#N/A</v>
      </c>
      <c r="H54" t="e">
        <f>VLOOKUP($A54,'A Main Database'!$A:$R,8,0)</f>
        <v>#N/A</v>
      </c>
      <c r="I54" t="e">
        <f>VLOOKUP($A54,'A Main Database'!$A:$R,9,0)</f>
        <v>#N/A</v>
      </c>
      <c r="J54" t="e">
        <f>VLOOKUP($A54,'A Main Database'!$A:$R,10,0)</f>
        <v>#N/A</v>
      </c>
      <c r="K54" t="e">
        <f>VLOOKUP($A54,'A Main Database'!$A:$R,11,0)</f>
        <v>#N/A</v>
      </c>
      <c r="L54" t="e">
        <f>VLOOKUP($A54,'A Main Database'!$A:$R,12,0)</f>
        <v>#N/A</v>
      </c>
      <c r="M54" t="e">
        <f>VLOOKUP($A54,'A Main Database'!$A:$R,13,0)</f>
        <v>#N/A</v>
      </c>
      <c r="N54" t="e">
        <f>VLOOKUP($A54,'A Main Database'!$A:$R,14,0)</f>
        <v>#N/A</v>
      </c>
      <c r="O54" t="e">
        <f>VLOOKUP($A54,'A Main Database'!$A:$R,15,0)</f>
        <v>#N/A</v>
      </c>
      <c r="P54" s="6" t="e">
        <f>VLOOKUP($A54,'A Main Database'!$A:$R,16,0)</f>
        <v>#N/A</v>
      </c>
      <c r="Q54" t="e">
        <f>VLOOKUP($A54,'A Main Database'!$A:$R,17,0)</f>
        <v>#N/A</v>
      </c>
      <c r="R54" t="e">
        <f>VLOOKUP($A54,'A Main Database'!$A:$R,18,0)</f>
        <v>#N/A</v>
      </c>
      <c r="S54" t="e">
        <f>VLOOKUP($A54,'A Main Database'!$A:$R,19,0)</f>
        <v>#N/A</v>
      </c>
      <c r="U54" t="e">
        <f>VLOOKUP(B54,'A Main Database'!A:A,1,0)</f>
        <v>#N/A</v>
      </c>
      <c r="V54" t="e">
        <f>VLOOKUP(B54,'A Main Database'!I:I,1,0)</f>
        <v>#N/A</v>
      </c>
      <c r="W54" t="e">
        <f>VLOOKUP(B54,'A Main Database'!M:M,1,0)</f>
        <v>#N/A</v>
      </c>
      <c r="X54" t="e">
        <f>VLOOKUP(B54,'A Main Database'!P:P,1,0)</f>
        <v>#N/A</v>
      </c>
      <c r="Y54" t="s">
        <v>287</v>
      </c>
      <c r="Z54" t="s">
        <v>292</v>
      </c>
      <c r="AA54" t="str">
        <f t="shared" si="1"/>
        <v>http://injoybusiness.co/submit</v>
      </c>
    </row>
    <row r="55" spans="1:27" x14ac:dyDescent="0.25">
      <c r="A55" t="str">
        <f t="shared" si="0"/>
        <v>https://bizfluent.com/submit</v>
      </c>
      <c r="B55" t="s">
        <v>133</v>
      </c>
      <c r="C55" s="4" t="e">
        <f>VLOOKUP($A55,'A Main Database'!$A:$R,3,0)</f>
        <v>#N/A</v>
      </c>
      <c r="D55" t="e">
        <f>VLOOKUP($A55,'A Main Database'!$A:$R,4,0)</f>
        <v>#N/A</v>
      </c>
      <c r="E55" t="e">
        <f>VLOOKUP($A55,'A Main Database'!$A:$R,5,0)</f>
        <v>#N/A</v>
      </c>
      <c r="F55" t="e">
        <f>VLOOKUP($A55,'A Main Database'!$A:$R,6,0)</f>
        <v>#N/A</v>
      </c>
      <c r="G55" t="e">
        <f>VLOOKUP($A55,'A Main Database'!$A:$R,7,0)</f>
        <v>#N/A</v>
      </c>
      <c r="H55" t="e">
        <f>VLOOKUP($A55,'A Main Database'!$A:$R,8,0)</f>
        <v>#N/A</v>
      </c>
      <c r="I55" t="e">
        <f>VLOOKUP($A55,'A Main Database'!$A:$R,9,0)</f>
        <v>#N/A</v>
      </c>
      <c r="J55" t="e">
        <f>VLOOKUP($A55,'A Main Database'!$A:$R,10,0)</f>
        <v>#N/A</v>
      </c>
      <c r="K55" t="e">
        <f>VLOOKUP($A55,'A Main Database'!$A:$R,11,0)</f>
        <v>#N/A</v>
      </c>
      <c r="L55" t="e">
        <f>VLOOKUP($A55,'A Main Database'!$A:$R,12,0)</f>
        <v>#N/A</v>
      </c>
      <c r="M55" t="e">
        <f>VLOOKUP($A55,'A Main Database'!$A:$R,13,0)</f>
        <v>#N/A</v>
      </c>
      <c r="N55" t="e">
        <f>VLOOKUP($A55,'A Main Database'!$A:$R,14,0)</f>
        <v>#N/A</v>
      </c>
      <c r="O55" t="e">
        <f>VLOOKUP($A55,'A Main Database'!$A:$R,15,0)</f>
        <v>#N/A</v>
      </c>
      <c r="P55" s="6" t="e">
        <f>VLOOKUP($A55,'A Main Database'!$A:$R,16,0)</f>
        <v>#N/A</v>
      </c>
      <c r="Q55" t="e">
        <f>VLOOKUP($A55,'A Main Database'!$A:$R,17,0)</f>
        <v>#N/A</v>
      </c>
      <c r="R55" t="e">
        <f>VLOOKUP($A55,'A Main Database'!$A:$R,18,0)</f>
        <v>#N/A</v>
      </c>
      <c r="S55" t="e">
        <f>VLOOKUP($A55,'A Main Database'!$A:$R,19,0)</f>
        <v>#N/A</v>
      </c>
      <c r="U55" t="e">
        <f>VLOOKUP(B55,'A Main Database'!A:A,1,0)</f>
        <v>#N/A</v>
      </c>
      <c r="V55" t="e">
        <f>VLOOKUP(B55,'A Main Database'!I:I,1,0)</f>
        <v>#N/A</v>
      </c>
      <c r="W55" t="e">
        <f>VLOOKUP(B55,'A Main Database'!M:M,1,0)</f>
        <v>#N/A</v>
      </c>
      <c r="X55" t="e">
        <f>VLOOKUP(B55,'A Main Database'!P:P,1,0)</f>
        <v>#N/A</v>
      </c>
      <c r="Y55" t="s">
        <v>287</v>
      </c>
      <c r="Z55" t="s">
        <v>292</v>
      </c>
      <c r="AA55" t="str">
        <f t="shared" si="1"/>
        <v>https://bizfluent.com/submit</v>
      </c>
    </row>
    <row r="56" spans="1:27" x14ac:dyDescent="0.25">
      <c r="A56" t="str">
        <f t="shared" si="0"/>
        <v>https://businessabc.ca/submit</v>
      </c>
      <c r="B56" t="s">
        <v>134</v>
      </c>
      <c r="C56" s="4" t="e">
        <f>VLOOKUP($A56,'A Main Database'!$A:$R,3,0)</f>
        <v>#N/A</v>
      </c>
      <c r="D56" t="e">
        <f>VLOOKUP($A56,'A Main Database'!$A:$R,4,0)</f>
        <v>#N/A</v>
      </c>
      <c r="E56" t="e">
        <f>VLOOKUP($A56,'A Main Database'!$A:$R,5,0)</f>
        <v>#N/A</v>
      </c>
      <c r="F56" t="e">
        <f>VLOOKUP($A56,'A Main Database'!$A:$R,6,0)</f>
        <v>#N/A</v>
      </c>
      <c r="G56" t="e">
        <f>VLOOKUP($A56,'A Main Database'!$A:$R,7,0)</f>
        <v>#N/A</v>
      </c>
      <c r="H56" t="e">
        <f>VLOOKUP($A56,'A Main Database'!$A:$R,8,0)</f>
        <v>#N/A</v>
      </c>
      <c r="I56" t="e">
        <f>VLOOKUP($A56,'A Main Database'!$A:$R,9,0)</f>
        <v>#N/A</v>
      </c>
      <c r="J56" t="e">
        <f>VLOOKUP($A56,'A Main Database'!$A:$R,10,0)</f>
        <v>#N/A</v>
      </c>
      <c r="K56" t="e">
        <f>VLOOKUP($A56,'A Main Database'!$A:$R,11,0)</f>
        <v>#N/A</v>
      </c>
      <c r="L56" t="e">
        <f>VLOOKUP($A56,'A Main Database'!$A:$R,12,0)</f>
        <v>#N/A</v>
      </c>
      <c r="M56" t="e">
        <f>VLOOKUP($A56,'A Main Database'!$A:$R,13,0)</f>
        <v>#N/A</v>
      </c>
      <c r="N56" t="e">
        <f>VLOOKUP($A56,'A Main Database'!$A:$R,14,0)</f>
        <v>#N/A</v>
      </c>
      <c r="O56" t="e">
        <f>VLOOKUP($A56,'A Main Database'!$A:$R,15,0)</f>
        <v>#N/A</v>
      </c>
      <c r="P56" s="6" t="e">
        <f>VLOOKUP($A56,'A Main Database'!$A:$R,16,0)</f>
        <v>#N/A</v>
      </c>
      <c r="Q56" t="e">
        <f>VLOOKUP($A56,'A Main Database'!$A:$R,17,0)</f>
        <v>#N/A</v>
      </c>
      <c r="R56" t="e">
        <f>VLOOKUP($A56,'A Main Database'!$A:$R,18,0)</f>
        <v>#N/A</v>
      </c>
      <c r="S56" t="e">
        <f>VLOOKUP($A56,'A Main Database'!$A:$R,19,0)</f>
        <v>#N/A</v>
      </c>
      <c r="U56" t="e">
        <f>VLOOKUP(B56,'A Main Database'!A:A,1,0)</f>
        <v>#N/A</v>
      </c>
      <c r="V56" t="e">
        <f>VLOOKUP(B56,'A Main Database'!I:I,1,0)</f>
        <v>#N/A</v>
      </c>
      <c r="W56" t="e">
        <f>VLOOKUP(B56,'A Main Database'!M:M,1,0)</f>
        <v>#N/A</v>
      </c>
      <c r="X56" t="e">
        <f>VLOOKUP(B56,'A Main Database'!P:P,1,0)</f>
        <v>#N/A</v>
      </c>
      <c r="Y56" t="s">
        <v>287</v>
      </c>
      <c r="Z56" t="s">
        <v>292</v>
      </c>
      <c r="AA56" t="str">
        <f t="shared" si="1"/>
        <v>https://businessabc.ca/submit</v>
      </c>
    </row>
    <row r="57" spans="1:27" x14ac:dyDescent="0.25">
      <c r="A57" t="str">
        <f t="shared" si="0"/>
        <v>http://canadaregistry.ca/submit</v>
      </c>
      <c r="B57" t="s">
        <v>135</v>
      </c>
      <c r="C57" s="4" t="e">
        <f>VLOOKUP($A57,'A Main Database'!$A:$R,3,0)</f>
        <v>#N/A</v>
      </c>
      <c r="D57" t="e">
        <f>VLOOKUP($A57,'A Main Database'!$A:$R,4,0)</f>
        <v>#N/A</v>
      </c>
      <c r="E57" t="e">
        <f>VLOOKUP($A57,'A Main Database'!$A:$R,5,0)</f>
        <v>#N/A</v>
      </c>
      <c r="F57" t="e">
        <f>VLOOKUP($A57,'A Main Database'!$A:$R,6,0)</f>
        <v>#N/A</v>
      </c>
      <c r="G57" t="e">
        <f>VLOOKUP($A57,'A Main Database'!$A:$R,7,0)</f>
        <v>#N/A</v>
      </c>
      <c r="H57" t="e">
        <f>VLOOKUP($A57,'A Main Database'!$A:$R,8,0)</f>
        <v>#N/A</v>
      </c>
      <c r="I57" t="e">
        <f>VLOOKUP($A57,'A Main Database'!$A:$R,9,0)</f>
        <v>#N/A</v>
      </c>
      <c r="J57" t="e">
        <f>VLOOKUP($A57,'A Main Database'!$A:$R,10,0)</f>
        <v>#N/A</v>
      </c>
      <c r="K57" t="e">
        <f>VLOOKUP($A57,'A Main Database'!$A:$R,11,0)</f>
        <v>#N/A</v>
      </c>
      <c r="L57" t="e">
        <f>VLOOKUP($A57,'A Main Database'!$A:$R,12,0)</f>
        <v>#N/A</v>
      </c>
      <c r="M57" t="e">
        <f>VLOOKUP($A57,'A Main Database'!$A:$R,13,0)</f>
        <v>#N/A</v>
      </c>
      <c r="N57" t="e">
        <f>VLOOKUP($A57,'A Main Database'!$A:$R,14,0)</f>
        <v>#N/A</v>
      </c>
      <c r="O57" t="e">
        <f>VLOOKUP($A57,'A Main Database'!$A:$R,15,0)</f>
        <v>#N/A</v>
      </c>
      <c r="P57" s="6" t="e">
        <f>VLOOKUP($A57,'A Main Database'!$A:$R,16,0)</f>
        <v>#N/A</v>
      </c>
      <c r="Q57" t="e">
        <f>VLOOKUP($A57,'A Main Database'!$A:$R,17,0)</f>
        <v>#N/A</v>
      </c>
      <c r="R57" t="e">
        <f>VLOOKUP($A57,'A Main Database'!$A:$R,18,0)</f>
        <v>#N/A</v>
      </c>
      <c r="S57" t="e">
        <f>VLOOKUP($A57,'A Main Database'!$A:$R,19,0)</f>
        <v>#N/A</v>
      </c>
      <c r="U57" t="e">
        <f>VLOOKUP(B57,'A Main Database'!A:A,1,0)</f>
        <v>#N/A</v>
      </c>
      <c r="V57" t="e">
        <f>VLOOKUP(B57,'A Main Database'!I:I,1,0)</f>
        <v>#N/A</v>
      </c>
      <c r="W57" t="e">
        <f>VLOOKUP(B57,'A Main Database'!M:M,1,0)</f>
        <v>#N/A</v>
      </c>
      <c r="X57" t="e">
        <f>VLOOKUP(B57,'A Main Database'!P:P,1,0)</f>
        <v>#N/A</v>
      </c>
      <c r="Y57" t="s">
        <v>287</v>
      </c>
      <c r="Z57" t="s">
        <v>292</v>
      </c>
      <c r="AA57" t="str">
        <f t="shared" si="1"/>
        <v>http://canadaregistry.ca/submit</v>
      </c>
    </row>
    <row r="58" spans="1:27" x14ac:dyDescent="0.25">
      <c r="A58" t="str">
        <f t="shared" si="0"/>
        <v>https://www.cleaningfranchiseebunwaru.blogspot.com/submit</v>
      </c>
      <c r="B58" t="s">
        <v>136</v>
      </c>
      <c r="C58" s="4" t="e">
        <f>VLOOKUP($A58,'A Main Database'!$A:$R,3,0)</f>
        <v>#N/A</v>
      </c>
      <c r="D58" t="e">
        <f>VLOOKUP($A58,'A Main Database'!$A:$R,4,0)</f>
        <v>#N/A</v>
      </c>
      <c r="E58" t="e">
        <f>VLOOKUP($A58,'A Main Database'!$A:$R,5,0)</f>
        <v>#N/A</v>
      </c>
      <c r="F58" t="e">
        <f>VLOOKUP($A58,'A Main Database'!$A:$R,6,0)</f>
        <v>#N/A</v>
      </c>
      <c r="G58" t="e">
        <f>VLOOKUP($A58,'A Main Database'!$A:$R,7,0)</f>
        <v>#N/A</v>
      </c>
      <c r="H58" t="e">
        <f>VLOOKUP($A58,'A Main Database'!$A:$R,8,0)</f>
        <v>#N/A</v>
      </c>
      <c r="I58" t="e">
        <f>VLOOKUP($A58,'A Main Database'!$A:$R,9,0)</f>
        <v>#N/A</v>
      </c>
      <c r="J58" t="e">
        <f>VLOOKUP($A58,'A Main Database'!$A:$R,10,0)</f>
        <v>#N/A</v>
      </c>
      <c r="K58" t="e">
        <f>VLOOKUP($A58,'A Main Database'!$A:$R,11,0)</f>
        <v>#N/A</v>
      </c>
      <c r="L58" t="e">
        <f>VLOOKUP($A58,'A Main Database'!$A:$R,12,0)</f>
        <v>#N/A</v>
      </c>
      <c r="M58" t="e">
        <f>VLOOKUP($A58,'A Main Database'!$A:$R,13,0)</f>
        <v>#N/A</v>
      </c>
      <c r="N58" t="e">
        <f>VLOOKUP($A58,'A Main Database'!$A:$R,14,0)</f>
        <v>#N/A</v>
      </c>
      <c r="O58" t="e">
        <f>VLOOKUP($A58,'A Main Database'!$A:$R,15,0)</f>
        <v>#N/A</v>
      </c>
      <c r="P58" s="6" t="e">
        <f>VLOOKUP($A58,'A Main Database'!$A:$R,16,0)</f>
        <v>#N/A</v>
      </c>
      <c r="Q58" t="e">
        <f>VLOOKUP($A58,'A Main Database'!$A:$R,17,0)</f>
        <v>#N/A</v>
      </c>
      <c r="R58" t="e">
        <f>VLOOKUP($A58,'A Main Database'!$A:$R,18,0)</f>
        <v>#N/A</v>
      </c>
      <c r="S58" t="e">
        <f>VLOOKUP($A58,'A Main Database'!$A:$R,19,0)</f>
        <v>#N/A</v>
      </c>
      <c r="U58" t="e">
        <f>VLOOKUP(B58,'A Main Database'!A:A,1,0)</f>
        <v>#N/A</v>
      </c>
      <c r="V58" t="e">
        <f>VLOOKUP(B58,'A Main Database'!I:I,1,0)</f>
        <v>#N/A</v>
      </c>
      <c r="W58" t="e">
        <f>VLOOKUP(B58,'A Main Database'!M:M,1,0)</f>
        <v>#N/A</v>
      </c>
      <c r="X58" t="e">
        <f>VLOOKUP(B58,'A Main Database'!P:P,1,0)</f>
        <v>#N/A</v>
      </c>
      <c r="Y58" t="s">
        <v>287</v>
      </c>
      <c r="Z58" t="s">
        <v>292</v>
      </c>
      <c r="AA58" t="str">
        <f t="shared" si="1"/>
        <v>https://www.cleaningfranchiseebunwaru.blogspot.com/submit</v>
      </c>
    </row>
    <row r="59" spans="1:27" x14ac:dyDescent="0.25">
      <c r="A59" t="str">
        <f t="shared" si="0"/>
        <v>https://www.cleaningfranchisemachifuna.blogspot.com/submit</v>
      </c>
      <c r="B59" t="s">
        <v>137</v>
      </c>
      <c r="C59" s="4" t="e">
        <f>VLOOKUP($A59,'A Main Database'!$A:$R,3,0)</f>
        <v>#N/A</v>
      </c>
      <c r="D59" t="e">
        <f>VLOOKUP($A59,'A Main Database'!$A:$R,4,0)</f>
        <v>#N/A</v>
      </c>
      <c r="E59" t="e">
        <f>VLOOKUP($A59,'A Main Database'!$A:$R,5,0)</f>
        <v>#N/A</v>
      </c>
      <c r="F59" t="e">
        <f>VLOOKUP($A59,'A Main Database'!$A:$R,6,0)</f>
        <v>#N/A</v>
      </c>
      <c r="G59" t="e">
        <f>VLOOKUP($A59,'A Main Database'!$A:$R,7,0)</f>
        <v>#N/A</v>
      </c>
      <c r="H59" t="e">
        <f>VLOOKUP($A59,'A Main Database'!$A:$R,8,0)</f>
        <v>#N/A</v>
      </c>
      <c r="I59" t="e">
        <f>VLOOKUP($A59,'A Main Database'!$A:$R,9,0)</f>
        <v>#N/A</v>
      </c>
      <c r="J59" t="e">
        <f>VLOOKUP($A59,'A Main Database'!$A:$R,10,0)</f>
        <v>#N/A</v>
      </c>
      <c r="K59" t="e">
        <f>VLOOKUP($A59,'A Main Database'!$A:$R,11,0)</f>
        <v>#N/A</v>
      </c>
      <c r="L59" t="e">
        <f>VLOOKUP($A59,'A Main Database'!$A:$R,12,0)</f>
        <v>#N/A</v>
      </c>
      <c r="M59" t="e">
        <f>VLOOKUP($A59,'A Main Database'!$A:$R,13,0)</f>
        <v>#N/A</v>
      </c>
      <c r="N59" t="e">
        <f>VLOOKUP($A59,'A Main Database'!$A:$R,14,0)</f>
        <v>#N/A</v>
      </c>
      <c r="O59" t="e">
        <f>VLOOKUP($A59,'A Main Database'!$A:$R,15,0)</f>
        <v>#N/A</v>
      </c>
      <c r="P59" s="6" t="e">
        <f>VLOOKUP($A59,'A Main Database'!$A:$R,16,0)</f>
        <v>#N/A</v>
      </c>
      <c r="Q59" t="e">
        <f>VLOOKUP($A59,'A Main Database'!$A:$R,17,0)</f>
        <v>#N/A</v>
      </c>
      <c r="R59" t="e">
        <f>VLOOKUP($A59,'A Main Database'!$A:$R,18,0)</f>
        <v>#N/A</v>
      </c>
      <c r="S59" t="e">
        <f>VLOOKUP($A59,'A Main Database'!$A:$R,19,0)</f>
        <v>#N/A</v>
      </c>
      <c r="U59" t="e">
        <f>VLOOKUP(B59,'A Main Database'!A:A,1,0)</f>
        <v>#N/A</v>
      </c>
      <c r="V59" t="e">
        <f>VLOOKUP(B59,'A Main Database'!I:I,1,0)</f>
        <v>#N/A</v>
      </c>
      <c r="W59" t="e">
        <f>VLOOKUP(B59,'A Main Database'!M:M,1,0)</f>
        <v>#N/A</v>
      </c>
      <c r="X59" t="e">
        <f>VLOOKUP(B59,'A Main Database'!P:P,1,0)</f>
        <v>#N/A</v>
      </c>
      <c r="Y59" t="s">
        <v>287</v>
      </c>
      <c r="Z59" t="s">
        <v>292</v>
      </c>
      <c r="AA59" t="str">
        <f t="shared" si="1"/>
        <v>https://www.cleaningfranchisemachifuna.blogspot.com/submit</v>
      </c>
    </row>
    <row r="60" spans="1:27" x14ac:dyDescent="0.25">
      <c r="A60" t="str">
        <f t="shared" si="0"/>
        <v>www.cleaningfranchisemoagen.blogspot.com/submit</v>
      </c>
      <c r="B60" t="s">
        <v>138</v>
      </c>
      <c r="C60" s="4" t="e">
        <f>VLOOKUP($A60,'A Main Database'!$A:$R,3,0)</f>
        <v>#N/A</v>
      </c>
      <c r="D60" t="e">
        <f>VLOOKUP($A60,'A Main Database'!$A:$R,4,0)</f>
        <v>#N/A</v>
      </c>
      <c r="E60" t="e">
        <f>VLOOKUP($A60,'A Main Database'!$A:$R,5,0)</f>
        <v>#N/A</v>
      </c>
      <c r="F60" t="e">
        <f>VLOOKUP($A60,'A Main Database'!$A:$R,6,0)</f>
        <v>#N/A</v>
      </c>
      <c r="G60" t="e">
        <f>VLOOKUP($A60,'A Main Database'!$A:$R,7,0)</f>
        <v>#N/A</v>
      </c>
      <c r="H60" t="e">
        <f>VLOOKUP($A60,'A Main Database'!$A:$R,8,0)</f>
        <v>#N/A</v>
      </c>
      <c r="I60" t="e">
        <f>VLOOKUP($A60,'A Main Database'!$A:$R,9,0)</f>
        <v>#N/A</v>
      </c>
      <c r="J60" t="e">
        <f>VLOOKUP($A60,'A Main Database'!$A:$R,10,0)</f>
        <v>#N/A</v>
      </c>
      <c r="K60" t="e">
        <f>VLOOKUP($A60,'A Main Database'!$A:$R,11,0)</f>
        <v>#N/A</v>
      </c>
      <c r="L60" t="e">
        <f>VLOOKUP($A60,'A Main Database'!$A:$R,12,0)</f>
        <v>#N/A</v>
      </c>
      <c r="M60" t="e">
        <f>VLOOKUP($A60,'A Main Database'!$A:$R,13,0)</f>
        <v>#N/A</v>
      </c>
      <c r="N60" t="e">
        <f>VLOOKUP($A60,'A Main Database'!$A:$R,14,0)</f>
        <v>#N/A</v>
      </c>
      <c r="O60" t="e">
        <f>VLOOKUP($A60,'A Main Database'!$A:$R,15,0)</f>
        <v>#N/A</v>
      </c>
      <c r="P60" s="6" t="e">
        <f>VLOOKUP($A60,'A Main Database'!$A:$R,16,0)</f>
        <v>#N/A</v>
      </c>
      <c r="Q60" t="e">
        <f>VLOOKUP($A60,'A Main Database'!$A:$R,17,0)</f>
        <v>#N/A</v>
      </c>
      <c r="R60" t="e">
        <f>VLOOKUP($A60,'A Main Database'!$A:$R,18,0)</f>
        <v>#N/A</v>
      </c>
      <c r="S60" t="e">
        <f>VLOOKUP($A60,'A Main Database'!$A:$R,19,0)</f>
        <v>#N/A</v>
      </c>
      <c r="U60" t="e">
        <f>VLOOKUP(B60,'A Main Database'!A:A,1,0)</f>
        <v>#N/A</v>
      </c>
      <c r="V60" t="e">
        <f>VLOOKUP(B60,'A Main Database'!I:I,1,0)</f>
        <v>#N/A</v>
      </c>
      <c r="W60" t="e">
        <f>VLOOKUP(B60,'A Main Database'!M:M,1,0)</f>
        <v>#N/A</v>
      </c>
      <c r="X60" t="e">
        <f>VLOOKUP(B60,'A Main Database'!P:P,1,0)</f>
        <v>#N/A</v>
      </c>
      <c r="Y60" t="s">
        <v>287</v>
      </c>
      <c r="Z60" t="s">
        <v>292</v>
      </c>
      <c r="AA60" t="str">
        <f t="shared" si="1"/>
        <v>www.cleaningfranchisemoagen.blogspot.com/submit</v>
      </c>
    </row>
    <row r="61" spans="1:27" x14ac:dyDescent="0.25">
      <c r="A61" t="str">
        <f t="shared" si="0"/>
        <v>www.cleaningfranchiseruzik.blogspot.com/submit</v>
      </c>
      <c r="B61" t="s">
        <v>139</v>
      </c>
      <c r="C61" s="4" t="e">
        <f>VLOOKUP($A61,'A Main Database'!$A:$R,3,0)</f>
        <v>#N/A</v>
      </c>
      <c r="D61" t="e">
        <f>VLOOKUP($A61,'A Main Database'!$A:$R,4,0)</f>
        <v>#N/A</v>
      </c>
      <c r="E61" t="e">
        <f>VLOOKUP($A61,'A Main Database'!$A:$R,5,0)</f>
        <v>#N/A</v>
      </c>
      <c r="F61" t="e">
        <f>VLOOKUP($A61,'A Main Database'!$A:$R,6,0)</f>
        <v>#N/A</v>
      </c>
      <c r="G61" t="e">
        <f>VLOOKUP($A61,'A Main Database'!$A:$R,7,0)</f>
        <v>#N/A</v>
      </c>
      <c r="H61" t="e">
        <f>VLOOKUP($A61,'A Main Database'!$A:$R,8,0)</f>
        <v>#N/A</v>
      </c>
      <c r="I61" t="e">
        <f>VLOOKUP($A61,'A Main Database'!$A:$R,9,0)</f>
        <v>#N/A</v>
      </c>
      <c r="J61" t="e">
        <f>VLOOKUP($A61,'A Main Database'!$A:$R,10,0)</f>
        <v>#N/A</v>
      </c>
      <c r="K61" t="e">
        <f>VLOOKUP($A61,'A Main Database'!$A:$R,11,0)</f>
        <v>#N/A</v>
      </c>
      <c r="L61" t="e">
        <f>VLOOKUP($A61,'A Main Database'!$A:$R,12,0)</f>
        <v>#N/A</v>
      </c>
      <c r="M61" t="e">
        <f>VLOOKUP($A61,'A Main Database'!$A:$R,13,0)</f>
        <v>#N/A</v>
      </c>
      <c r="N61" t="e">
        <f>VLOOKUP($A61,'A Main Database'!$A:$R,14,0)</f>
        <v>#N/A</v>
      </c>
      <c r="O61" t="e">
        <f>VLOOKUP($A61,'A Main Database'!$A:$R,15,0)</f>
        <v>#N/A</v>
      </c>
      <c r="P61" s="6" t="e">
        <f>VLOOKUP($A61,'A Main Database'!$A:$R,16,0)</f>
        <v>#N/A</v>
      </c>
      <c r="Q61" t="e">
        <f>VLOOKUP($A61,'A Main Database'!$A:$R,17,0)</f>
        <v>#N/A</v>
      </c>
      <c r="R61" t="e">
        <f>VLOOKUP($A61,'A Main Database'!$A:$R,18,0)</f>
        <v>#N/A</v>
      </c>
      <c r="S61" t="e">
        <f>VLOOKUP($A61,'A Main Database'!$A:$R,19,0)</f>
        <v>#N/A</v>
      </c>
      <c r="U61" t="e">
        <f>VLOOKUP(B61,'A Main Database'!A:A,1,0)</f>
        <v>#N/A</v>
      </c>
      <c r="V61" t="e">
        <f>VLOOKUP(B61,'A Main Database'!I:I,1,0)</f>
        <v>#N/A</v>
      </c>
      <c r="W61" t="e">
        <f>VLOOKUP(B61,'A Main Database'!M:M,1,0)</f>
        <v>#N/A</v>
      </c>
      <c r="X61" t="e">
        <f>VLOOKUP(B61,'A Main Database'!P:P,1,0)</f>
        <v>#N/A</v>
      </c>
      <c r="Y61" t="s">
        <v>287</v>
      </c>
      <c r="Z61" t="s">
        <v>292</v>
      </c>
      <c r="AA61" t="str">
        <f t="shared" si="1"/>
        <v>www.cleaningfranchiseruzik.blogspot.com/submit</v>
      </c>
    </row>
    <row r="62" spans="1:27" x14ac:dyDescent="0.25">
      <c r="A62" t="str">
        <f t="shared" si="0"/>
        <v>http://yudu.com/submit</v>
      </c>
      <c r="B62" t="s">
        <v>140</v>
      </c>
      <c r="C62" s="4" t="e">
        <f>VLOOKUP($A62,'A Main Database'!$A:$R,3,0)</f>
        <v>#N/A</v>
      </c>
      <c r="D62" t="e">
        <f>VLOOKUP($A62,'A Main Database'!$A:$R,4,0)</f>
        <v>#N/A</v>
      </c>
      <c r="E62" t="e">
        <f>VLOOKUP($A62,'A Main Database'!$A:$R,5,0)</f>
        <v>#N/A</v>
      </c>
      <c r="F62" t="e">
        <f>VLOOKUP($A62,'A Main Database'!$A:$R,6,0)</f>
        <v>#N/A</v>
      </c>
      <c r="G62" t="e">
        <f>VLOOKUP($A62,'A Main Database'!$A:$R,7,0)</f>
        <v>#N/A</v>
      </c>
      <c r="H62" t="e">
        <f>VLOOKUP($A62,'A Main Database'!$A:$R,8,0)</f>
        <v>#N/A</v>
      </c>
      <c r="I62" t="e">
        <f>VLOOKUP($A62,'A Main Database'!$A:$R,9,0)</f>
        <v>#N/A</v>
      </c>
      <c r="J62" t="e">
        <f>VLOOKUP($A62,'A Main Database'!$A:$R,10,0)</f>
        <v>#N/A</v>
      </c>
      <c r="K62" t="e">
        <f>VLOOKUP($A62,'A Main Database'!$A:$R,11,0)</f>
        <v>#N/A</v>
      </c>
      <c r="L62" t="e">
        <f>VLOOKUP($A62,'A Main Database'!$A:$R,12,0)</f>
        <v>#N/A</v>
      </c>
      <c r="M62" t="e">
        <f>VLOOKUP($A62,'A Main Database'!$A:$R,13,0)</f>
        <v>#N/A</v>
      </c>
      <c r="N62" t="e">
        <f>VLOOKUP($A62,'A Main Database'!$A:$R,14,0)</f>
        <v>#N/A</v>
      </c>
      <c r="O62" t="e">
        <f>VLOOKUP($A62,'A Main Database'!$A:$R,15,0)</f>
        <v>#N/A</v>
      </c>
      <c r="P62" s="6" t="e">
        <f>VLOOKUP($A62,'A Main Database'!$A:$R,16,0)</f>
        <v>#N/A</v>
      </c>
      <c r="Q62" t="e">
        <f>VLOOKUP($A62,'A Main Database'!$A:$R,17,0)</f>
        <v>#N/A</v>
      </c>
      <c r="R62" t="e">
        <f>VLOOKUP($A62,'A Main Database'!$A:$R,18,0)</f>
        <v>#N/A</v>
      </c>
      <c r="S62" t="e">
        <f>VLOOKUP($A62,'A Main Database'!$A:$R,19,0)</f>
        <v>#N/A</v>
      </c>
      <c r="U62" t="e">
        <f>VLOOKUP(B62,'A Main Database'!A:A,1,0)</f>
        <v>#N/A</v>
      </c>
      <c r="V62" t="e">
        <f>VLOOKUP(B62,'A Main Database'!I:I,1,0)</f>
        <v>#N/A</v>
      </c>
      <c r="W62" t="e">
        <f>VLOOKUP(B62,'A Main Database'!M:M,1,0)</f>
        <v>#N/A</v>
      </c>
      <c r="X62" t="e">
        <f>VLOOKUP(B62,'A Main Database'!P:P,1,0)</f>
        <v>#N/A</v>
      </c>
      <c r="Y62" t="s">
        <v>287</v>
      </c>
      <c r="Z62" t="s">
        <v>292</v>
      </c>
      <c r="AA62" t="str">
        <f t="shared" si="1"/>
        <v>http://yudu.com/submit</v>
      </c>
    </row>
    <row r="63" spans="1:27" x14ac:dyDescent="0.25">
      <c r="A63" t="str">
        <f t="shared" si="0"/>
        <v>https://hubspot.com/submit</v>
      </c>
      <c r="B63" t="s">
        <v>141</v>
      </c>
      <c r="C63" s="4" t="e">
        <f>VLOOKUP($A63,'A Main Database'!$A:$R,3,0)</f>
        <v>#N/A</v>
      </c>
      <c r="D63" t="e">
        <f>VLOOKUP($A63,'A Main Database'!$A:$R,4,0)</f>
        <v>#N/A</v>
      </c>
      <c r="E63" t="e">
        <f>VLOOKUP($A63,'A Main Database'!$A:$R,5,0)</f>
        <v>#N/A</v>
      </c>
      <c r="F63" t="e">
        <f>VLOOKUP($A63,'A Main Database'!$A:$R,6,0)</f>
        <v>#N/A</v>
      </c>
      <c r="G63" t="e">
        <f>VLOOKUP($A63,'A Main Database'!$A:$R,7,0)</f>
        <v>#N/A</v>
      </c>
      <c r="H63" t="e">
        <f>VLOOKUP($A63,'A Main Database'!$A:$R,8,0)</f>
        <v>#N/A</v>
      </c>
      <c r="I63" t="e">
        <f>VLOOKUP($A63,'A Main Database'!$A:$R,9,0)</f>
        <v>#N/A</v>
      </c>
      <c r="J63" t="e">
        <f>VLOOKUP($A63,'A Main Database'!$A:$R,10,0)</f>
        <v>#N/A</v>
      </c>
      <c r="K63" t="e">
        <f>VLOOKUP($A63,'A Main Database'!$A:$R,11,0)</f>
        <v>#N/A</v>
      </c>
      <c r="L63" t="e">
        <f>VLOOKUP($A63,'A Main Database'!$A:$R,12,0)</f>
        <v>#N/A</v>
      </c>
      <c r="M63" t="e">
        <f>VLOOKUP($A63,'A Main Database'!$A:$R,13,0)</f>
        <v>#N/A</v>
      </c>
      <c r="N63" t="e">
        <f>VLOOKUP($A63,'A Main Database'!$A:$R,14,0)</f>
        <v>#N/A</v>
      </c>
      <c r="O63" t="e">
        <f>VLOOKUP($A63,'A Main Database'!$A:$R,15,0)</f>
        <v>#N/A</v>
      </c>
      <c r="P63" s="6" t="e">
        <f>VLOOKUP($A63,'A Main Database'!$A:$R,16,0)</f>
        <v>#N/A</v>
      </c>
      <c r="Q63" t="e">
        <f>VLOOKUP($A63,'A Main Database'!$A:$R,17,0)</f>
        <v>#N/A</v>
      </c>
      <c r="R63" t="e">
        <f>VLOOKUP($A63,'A Main Database'!$A:$R,18,0)</f>
        <v>#N/A</v>
      </c>
      <c r="S63" t="e">
        <f>VLOOKUP($A63,'A Main Database'!$A:$R,19,0)</f>
        <v>#N/A</v>
      </c>
      <c r="U63" t="e">
        <f>VLOOKUP(B63,'A Main Database'!A:A,1,0)</f>
        <v>#N/A</v>
      </c>
      <c r="V63" t="e">
        <f>VLOOKUP(B63,'A Main Database'!I:I,1,0)</f>
        <v>#N/A</v>
      </c>
      <c r="W63" t="e">
        <f>VLOOKUP(B63,'A Main Database'!M:M,1,0)</f>
        <v>#N/A</v>
      </c>
      <c r="X63" t="e">
        <f>VLOOKUP(B63,'A Main Database'!P:P,1,0)</f>
        <v>#N/A</v>
      </c>
      <c r="Y63" t="s">
        <v>287</v>
      </c>
      <c r="Z63" t="s">
        <v>292</v>
      </c>
      <c r="AA63" t="str">
        <f t="shared" si="1"/>
        <v>https://hubspot.com/submit</v>
      </c>
    </row>
    <row r="64" spans="1:27" x14ac:dyDescent="0.25">
      <c r="A64" t="str">
        <f t="shared" si="0"/>
        <v>https://justlanded.com/submit</v>
      </c>
      <c r="B64" t="s">
        <v>142</v>
      </c>
      <c r="C64" s="4" t="e">
        <f>VLOOKUP($A64,'A Main Database'!$A:$R,3,0)</f>
        <v>#N/A</v>
      </c>
      <c r="D64" t="e">
        <f>VLOOKUP($A64,'A Main Database'!$A:$R,4,0)</f>
        <v>#N/A</v>
      </c>
      <c r="E64" t="e">
        <f>VLOOKUP($A64,'A Main Database'!$A:$R,5,0)</f>
        <v>#N/A</v>
      </c>
      <c r="F64" t="e">
        <f>VLOOKUP($A64,'A Main Database'!$A:$R,6,0)</f>
        <v>#N/A</v>
      </c>
      <c r="G64" t="e">
        <f>VLOOKUP($A64,'A Main Database'!$A:$R,7,0)</f>
        <v>#N/A</v>
      </c>
      <c r="H64" t="e">
        <f>VLOOKUP($A64,'A Main Database'!$A:$R,8,0)</f>
        <v>#N/A</v>
      </c>
      <c r="I64" t="e">
        <f>VLOOKUP($A64,'A Main Database'!$A:$R,9,0)</f>
        <v>#N/A</v>
      </c>
      <c r="J64" t="e">
        <f>VLOOKUP($A64,'A Main Database'!$A:$R,10,0)</f>
        <v>#N/A</v>
      </c>
      <c r="K64" t="e">
        <f>VLOOKUP($A64,'A Main Database'!$A:$R,11,0)</f>
        <v>#N/A</v>
      </c>
      <c r="L64" t="e">
        <f>VLOOKUP($A64,'A Main Database'!$A:$R,12,0)</f>
        <v>#N/A</v>
      </c>
      <c r="M64" t="e">
        <f>VLOOKUP($A64,'A Main Database'!$A:$R,13,0)</f>
        <v>#N/A</v>
      </c>
      <c r="N64" t="e">
        <f>VLOOKUP($A64,'A Main Database'!$A:$R,14,0)</f>
        <v>#N/A</v>
      </c>
      <c r="O64" t="e">
        <f>VLOOKUP($A64,'A Main Database'!$A:$R,15,0)</f>
        <v>#N/A</v>
      </c>
      <c r="P64" s="6" t="e">
        <f>VLOOKUP($A64,'A Main Database'!$A:$R,16,0)</f>
        <v>#N/A</v>
      </c>
      <c r="Q64" t="e">
        <f>VLOOKUP($A64,'A Main Database'!$A:$R,17,0)</f>
        <v>#N/A</v>
      </c>
      <c r="R64" t="e">
        <f>VLOOKUP($A64,'A Main Database'!$A:$R,18,0)</f>
        <v>#N/A</v>
      </c>
      <c r="S64" t="e">
        <f>VLOOKUP($A64,'A Main Database'!$A:$R,19,0)</f>
        <v>#N/A</v>
      </c>
      <c r="U64" t="e">
        <f>VLOOKUP(B64,'A Main Database'!A:A,1,0)</f>
        <v>#N/A</v>
      </c>
      <c r="V64" t="e">
        <f>VLOOKUP(B64,'A Main Database'!I:I,1,0)</f>
        <v>#N/A</v>
      </c>
      <c r="W64" t="e">
        <f>VLOOKUP(B64,'A Main Database'!M:M,1,0)</f>
        <v>#N/A</v>
      </c>
      <c r="X64" t="e">
        <f>VLOOKUP(B64,'A Main Database'!P:P,1,0)</f>
        <v>#N/A</v>
      </c>
      <c r="Y64" t="s">
        <v>287</v>
      </c>
      <c r="Z64" t="s">
        <v>292</v>
      </c>
      <c r="AA64" t="str">
        <f t="shared" si="1"/>
        <v>https://justlanded.com/submit</v>
      </c>
    </row>
    <row r="65" spans="1:27" x14ac:dyDescent="0.25">
      <c r="A65" t="str">
        <f t="shared" si="0"/>
        <v>http://emprendimientosros.com/submit</v>
      </c>
      <c r="B65" t="s">
        <v>143</v>
      </c>
      <c r="C65" s="4" t="e">
        <f>VLOOKUP($A65,'A Main Database'!$A:$R,3,0)</f>
        <v>#N/A</v>
      </c>
      <c r="D65" t="e">
        <f>VLOOKUP($A65,'A Main Database'!$A:$R,4,0)</f>
        <v>#N/A</v>
      </c>
      <c r="E65" t="e">
        <f>VLOOKUP($A65,'A Main Database'!$A:$R,5,0)</f>
        <v>#N/A</v>
      </c>
      <c r="F65" t="e">
        <f>VLOOKUP($A65,'A Main Database'!$A:$R,6,0)</f>
        <v>#N/A</v>
      </c>
      <c r="G65" t="e">
        <f>VLOOKUP($A65,'A Main Database'!$A:$R,7,0)</f>
        <v>#N/A</v>
      </c>
      <c r="H65" t="e">
        <f>VLOOKUP($A65,'A Main Database'!$A:$R,8,0)</f>
        <v>#N/A</v>
      </c>
      <c r="I65" t="e">
        <f>VLOOKUP($A65,'A Main Database'!$A:$R,9,0)</f>
        <v>#N/A</v>
      </c>
      <c r="J65" t="e">
        <f>VLOOKUP($A65,'A Main Database'!$A:$R,10,0)</f>
        <v>#N/A</v>
      </c>
      <c r="K65" t="e">
        <f>VLOOKUP($A65,'A Main Database'!$A:$R,11,0)</f>
        <v>#N/A</v>
      </c>
      <c r="L65" t="e">
        <f>VLOOKUP($A65,'A Main Database'!$A:$R,12,0)</f>
        <v>#N/A</v>
      </c>
      <c r="M65" t="e">
        <f>VLOOKUP($A65,'A Main Database'!$A:$R,13,0)</f>
        <v>#N/A</v>
      </c>
      <c r="N65" t="e">
        <f>VLOOKUP($A65,'A Main Database'!$A:$R,14,0)</f>
        <v>#N/A</v>
      </c>
      <c r="O65" t="e">
        <f>VLOOKUP($A65,'A Main Database'!$A:$R,15,0)</f>
        <v>#N/A</v>
      </c>
      <c r="P65" s="6" t="e">
        <f>VLOOKUP($A65,'A Main Database'!$A:$R,16,0)</f>
        <v>#N/A</v>
      </c>
      <c r="Q65" t="e">
        <f>VLOOKUP($A65,'A Main Database'!$A:$R,17,0)</f>
        <v>#N/A</v>
      </c>
      <c r="R65" t="e">
        <f>VLOOKUP($A65,'A Main Database'!$A:$R,18,0)</f>
        <v>#N/A</v>
      </c>
      <c r="S65" t="e">
        <f>VLOOKUP($A65,'A Main Database'!$A:$R,19,0)</f>
        <v>#N/A</v>
      </c>
      <c r="U65" t="e">
        <f>VLOOKUP(B65,'A Main Database'!A:A,1,0)</f>
        <v>#N/A</v>
      </c>
      <c r="V65" t="e">
        <f>VLOOKUP(B65,'A Main Database'!I:I,1,0)</f>
        <v>#N/A</v>
      </c>
      <c r="W65" t="e">
        <f>VLOOKUP(B65,'A Main Database'!M:M,1,0)</f>
        <v>#N/A</v>
      </c>
      <c r="X65" t="e">
        <f>VLOOKUP(B65,'A Main Database'!P:P,1,0)</f>
        <v>#N/A</v>
      </c>
      <c r="Y65" t="s">
        <v>287</v>
      </c>
      <c r="Z65" t="s">
        <v>292</v>
      </c>
      <c r="AA65" t="str">
        <f t="shared" si="1"/>
        <v>http://emprendimientosros.com/submit</v>
      </c>
    </row>
    <row r="66" spans="1:27" x14ac:dyDescent="0.25">
      <c r="A66" t="str">
        <f t="shared" si="0"/>
        <v>https://www.franchise-business.net/submit</v>
      </c>
      <c r="B66" t="s">
        <v>144</v>
      </c>
      <c r="C66" s="4" t="e">
        <f>VLOOKUP($A66,'A Main Database'!$A:$R,3,0)</f>
        <v>#N/A</v>
      </c>
      <c r="D66" t="e">
        <f>VLOOKUP($A66,'A Main Database'!$A:$R,4,0)</f>
        <v>#N/A</v>
      </c>
      <c r="E66" t="e">
        <f>VLOOKUP($A66,'A Main Database'!$A:$R,5,0)</f>
        <v>#N/A</v>
      </c>
      <c r="F66" t="e">
        <f>VLOOKUP($A66,'A Main Database'!$A:$R,6,0)</f>
        <v>#N/A</v>
      </c>
      <c r="G66" t="e">
        <f>VLOOKUP($A66,'A Main Database'!$A:$R,7,0)</f>
        <v>#N/A</v>
      </c>
      <c r="H66" t="e">
        <f>VLOOKUP($A66,'A Main Database'!$A:$R,8,0)</f>
        <v>#N/A</v>
      </c>
      <c r="I66" t="e">
        <f>VLOOKUP($A66,'A Main Database'!$A:$R,9,0)</f>
        <v>#N/A</v>
      </c>
      <c r="J66" t="e">
        <f>VLOOKUP($A66,'A Main Database'!$A:$R,10,0)</f>
        <v>#N/A</v>
      </c>
      <c r="K66" t="e">
        <f>VLOOKUP($A66,'A Main Database'!$A:$R,11,0)</f>
        <v>#N/A</v>
      </c>
      <c r="L66" t="e">
        <f>VLOOKUP($A66,'A Main Database'!$A:$R,12,0)</f>
        <v>#N/A</v>
      </c>
      <c r="M66" t="e">
        <f>VLOOKUP($A66,'A Main Database'!$A:$R,13,0)</f>
        <v>#N/A</v>
      </c>
      <c r="N66" t="e">
        <f>VLOOKUP($A66,'A Main Database'!$A:$R,14,0)</f>
        <v>#N/A</v>
      </c>
      <c r="O66" t="e">
        <f>VLOOKUP($A66,'A Main Database'!$A:$R,15,0)</f>
        <v>#N/A</v>
      </c>
      <c r="P66" s="6" t="e">
        <f>VLOOKUP($A66,'A Main Database'!$A:$R,16,0)</f>
        <v>#N/A</v>
      </c>
      <c r="Q66" t="e">
        <f>VLOOKUP($A66,'A Main Database'!$A:$R,17,0)</f>
        <v>#N/A</v>
      </c>
      <c r="R66" t="e">
        <f>VLOOKUP($A66,'A Main Database'!$A:$R,18,0)</f>
        <v>#N/A</v>
      </c>
      <c r="S66" t="e">
        <f>VLOOKUP($A66,'A Main Database'!$A:$R,19,0)</f>
        <v>#N/A</v>
      </c>
      <c r="U66" t="e">
        <f>VLOOKUP(B66,'A Main Database'!A:A,1,0)</f>
        <v>#N/A</v>
      </c>
      <c r="V66" t="e">
        <f>VLOOKUP(B66,'A Main Database'!I:I,1,0)</f>
        <v>#N/A</v>
      </c>
      <c r="W66" t="e">
        <f>VLOOKUP(B66,'A Main Database'!M:M,1,0)</f>
        <v>#N/A</v>
      </c>
      <c r="X66" t="e">
        <f>VLOOKUP(B66,'A Main Database'!P:P,1,0)</f>
        <v>#N/A</v>
      </c>
      <c r="Y66" t="s">
        <v>287</v>
      </c>
      <c r="Z66" t="s">
        <v>292</v>
      </c>
      <c r="AA66" t="str">
        <f t="shared" si="1"/>
        <v>https://www.franchise-business.net/submit</v>
      </c>
    </row>
    <row r="67" spans="1:27" x14ac:dyDescent="0.25">
      <c r="A67" t="str">
        <f t="shared" si="0"/>
        <v>https://www.gust.com/submit</v>
      </c>
      <c r="B67" t="s">
        <v>145</v>
      </c>
      <c r="C67" s="4" t="e">
        <f>VLOOKUP($A67,'A Main Database'!$A:$R,3,0)</f>
        <v>#N/A</v>
      </c>
      <c r="D67" t="e">
        <f>VLOOKUP($A67,'A Main Database'!$A:$R,4,0)</f>
        <v>#N/A</v>
      </c>
      <c r="E67" t="e">
        <f>VLOOKUP($A67,'A Main Database'!$A:$R,5,0)</f>
        <v>#N/A</v>
      </c>
      <c r="F67" t="e">
        <f>VLOOKUP($A67,'A Main Database'!$A:$R,6,0)</f>
        <v>#N/A</v>
      </c>
      <c r="G67" t="e">
        <f>VLOOKUP($A67,'A Main Database'!$A:$R,7,0)</f>
        <v>#N/A</v>
      </c>
      <c r="H67" t="e">
        <f>VLOOKUP($A67,'A Main Database'!$A:$R,8,0)</f>
        <v>#N/A</v>
      </c>
      <c r="I67" t="e">
        <f>VLOOKUP($A67,'A Main Database'!$A:$R,9,0)</f>
        <v>#N/A</v>
      </c>
      <c r="J67" t="e">
        <f>VLOOKUP($A67,'A Main Database'!$A:$R,10,0)</f>
        <v>#N/A</v>
      </c>
      <c r="K67" t="e">
        <f>VLOOKUP($A67,'A Main Database'!$A:$R,11,0)</f>
        <v>#N/A</v>
      </c>
      <c r="L67" t="e">
        <f>VLOOKUP($A67,'A Main Database'!$A:$R,12,0)</f>
        <v>#N/A</v>
      </c>
      <c r="M67" t="e">
        <f>VLOOKUP($A67,'A Main Database'!$A:$R,13,0)</f>
        <v>#N/A</v>
      </c>
      <c r="N67" t="e">
        <f>VLOOKUP($A67,'A Main Database'!$A:$R,14,0)</f>
        <v>#N/A</v>
      </c>
      <c r="O67" t="e">
        <f>VLOOKUP($A67,'A Main Database'!$A:$R,15,0)</f>
        <v>#N/A</v>
      </c>
      <c r="P67" s="6" t="e">
        <f>VLOOKUP($A67,'A Main Database'!$A:$R,16,0)</f>
        <v>#N/A</v>
      </c>
      <c r="Q67" t="e">
        <f>VLOOKUP($A67,'A Main Database'!$A:$R,17,0)</f>
        <v>#N/A</v>
      </c>
      <c r="R67" t="e">
        <f>VLOOKUP($A67,'A Main Database'!$A:$R,18,0)</f>
        <v>#N/A</v>
      </c>
      <c r="S67" t="e">
        <f>VLOOKUP($A67,'A Main Database'!$A:$R,19,0)</f>
        <v>#N/A</v>
      </c>
      <c r="U67" t="e">
        <f>VLOOKUP(B67,'A Main Database'!A:A,1,0)</f>
        <v>#N/A</v>
      </c>
      <c r="V67" t="e">
        <f>VLOOKUP(B67,'A Main Database'!I:I,1,0)</f>
        <v>#N/A</v>
      </c>
      <c r="W67" t="e">
        <f>VLOOKUP(B67,'A Main Database'!M:M,1,0)</f>
        <v>#N/A</v>
      </c>
      <c r="X67" t="e">
        <f>VLOOKUP(B67,'A Main Database'!P:P,1,0)</f>
        <v>#N/A</v>
      </c>
      <c r="Y67" t="s">
        <v>287</v>
      </c>
      <c r="Z67" t="s">
        <v>292</v>
      </c>
      <c r="AA67" t="str">
        <f t="shared" si="1"/>
        <v>https://www.gust.com/submit</v>
      </c>
    </row>
    <row r="68" spans="1:27" x14ac:dyDescent="0.25">
      <c r="A68" t="str">
        <f t="shared" si="0"/>
        <v>homedirect.xyz/submit</v>
      </c>
      <c r="B68" t="s">
        <v>146</v>
      </c>
      <c r="C68" s="4" t="e">
        <f>VLOOKUP($A68,'A Main Database'!$A:$R,3,0)</f>
        <v>#N/A</v>
      </c>
      <c r="D68" t="e">
        <f>VLOOKUP($A68,'A Main Database'!$A:$R,4,0)</f>
        <v>#N/A</v>
      </c>
      <c r="E68" t="e">
        <f>VLOOKUP($A68,'A Main Database'!$A:$R,5,0)</f>
        <v>#N/A</v>
      </c>
      <c r="F68" t="e">
        <f>VLOOKUP($A68,'A Main Database'!$A:$R,6,0)</f>
        <v>#N/A</v>
      </c>
      <c r="G68" t="e">
        <f>VLOOKUP($A68,'A Main Database'!$A:$R,7,0)</f>
        <v>#N/A</v>
      </c>
      <c r="H68" t="e">
        <f>VLOOKUP($A68,'A Main Database'!$A:$R,8,0)</f>
        <v>#N/A</v>
      </c>
      <c r="I68" t="e">
        <f>VLOOKUP($A68,'A Main Database'!$A:$R,9,0)</f>
        <v>#N/A</v>
      </c>
      <c r="J68" t="e">
        <f>VLOOKUP($A68,'A Main Database'!$A:$R,10,0)</f>
        <v>#N/A</v>
      </c>
      <c r="K68" t="e">
        <f>VLOOKUP($A68,'A Main Database'!$A:$R,11,0)</f>
        <v>#N/A</v>
      </c>
      <c r="L68" t="e">
        <f>VLOOKUP($A68,'A Main Database'!$A:$R,12,0)</f>
        <v>#N/A</v>
      </c>
      <c r="M68" t="e">
        <f>VLOOKUP($A68,'A Main Database'!$A:$R,13,0)</f>
        <v>#N/A</v>
      </c>
      <c r="N68" t="e">
        <f>VLOOKUP($A68,'A Main Database'!$A:$R,14,0)</f>
        <v>#N/A</v>
      </c>
      <c r="O68" t="e">
        <f>VLOOKUP($A68,'A Main Database'!$A:$R,15,0)</f>
        <v>#N/A</v>
      </c>
      <c r="P68" s="6" t="e">
        <f>VLOOKUP($A68,'A Main Database'!$A:$R,16,0)</f>
        <v>#N/A</v>
      </c>
      <c r="Q68" t="e">
        <f>VLOOKUP($A68,'A Main Database'!$A:$R,17,0)</f>
        <v>#N/A</v>
      </c>
      <c r="R68" t="e">
        <f>VLOOKUP($A68,'A Main Database'!$A:$R,18,0)</f>
        <v>#N/A</v>
      </c>
      <c r="S68" t="e">
        <f>VLOOKUP($A68,'A Main Database'!$A:$R,19,0)</f>
        <v>#N/A</v>
      </c>
      <c r="U68" t="e">
        <f>VLOOKUP(B68,'A Main Database'!A:A,1,0)</f>
        <v>#N/A</v>
      </c>
      <c r="V68" t="e">
        <f>VLOOKUP(B68,'A Main Database'!I:I,1,0)</f>
        <v>#N/A</v>
      </c>
      <c r="W68" t="e">
        <f>VLOOKUP(B68,'A Main Database'!M:M,1,0)</f>
        <v>#N/A</v>
      </c>
      <c r="X68" t="e">
        <f>VLOOKUP(B68,'A Main Database'!P:P,1,0)</f>
        <v>#N/A</v>
      </c>
      <c r="Y68" t="s">
        <v>287</v>
      </c>
      <c r="Z68" t="s">
        <v>292</v>
      </c>
      <c r="AA68" t="str">
        <f t="shared" si="1"/>
        <v>homedirect.xyz/submit</v>
      </c>
    </row>
    <row r="69" spans="1:27" x14ac:dyDescent="0.25">
      <c r="A69" t="str">
        <f t="shared" ref="A69:A77" si="2">AA69</f>
        <v>host.io/submit</v>
      </c>
      <c r="B69" t="s">
        <v>147</v>
      </c>
      <c r="C69" s="4" t="e">
        <f>VLOOKUP($A69,'A Main Database'!$A:$R,3,0)</f>
        <v>#N/A</v>
      </c>
      <c r="D69" t="e">
        <f>VLOOKUP($A69,'A Main Database'!$A:$R,4,0)</f>
        <v>#N/A</v>
      </c>
      <c r="E69" t="e">
        <f>VLOOKUP($A69,'A Main Database'!$A:$R,5,0)</f>
        <v>#N/A</v>
      </c>
      <c r="F69" t="e">
        <f>VLOOKUP($A69,'A Main Database'!$A:$R,6,0)</f>
        <v>#N/A</v>
      </c>
      <c r="G69" t="e">
        <f>VLOOKUP($A69,'A Main Database'!$A:$R,7,0)</f>
        <v>#N/A</v>
      </c>
      <c r="H69" t="e">
        <f>VLOOKUP($A69,'A Main Database'!$A:$R,8,0)</f>
        <v>#N/A</v>
      </c>
      <c r="I69" t="e">
        <f>VLOOKUP($A69,'A Main Database'!$A:$R,9,0)</f>
        <v>#N/A</v>
      </c>
      <c r="J69" t="e">
        <f>VLOOKUP($A69,'A Main Database'!$A:$R,10,0)</f>
        <v>#N/A</v>
      </c>
      <c r="K69" t="e">
        <f>VLOOKUP($A69,'A Main Database'!$A:$R,11,0)</f>
        <v>#N/A</v>
      </c>
      <c r="L69" t="e">
        <f>VLOOKUP($A69,'A Main Database'!$A:$R,12,0)</f>
        <v>#N/A</v>
      </c>
      <c r="M69" t="e">
        <f>VLOOKUP($A69,'A Main Database'!$A:$R,13,0)</f>
        <v>#N/A</v>
      </c>
      <c r="N69" t="e">
        <f>VLOOKUP($A69,'A Main Database'!$A:$R,14,0)</f>
        <v>#N/A</v>
      </c>
      <c r="O69" t="e">
        <f>VLOOKUP($A69,'A Main Database'!$A:$R,15,0)</f>
        <v>#N/A</v>
      </c>
      <c r="P69" s="6" t="e">
        <f>VLOOKUP($A69,'A Main Database'!$A:$R,16,0)</f>
        <v>#N/A</v>
      </c>
      <c r="Q69" t="e">
        <f>VLOOKUP($A69,'A Main Database'!$A:$R,17,0)</f>
        <v>#N/A</v>
      </c>
      <c r="R69" t="e">
        <f>VLOOKUP($A69,'A Main Database'!$A:$R,18,0)</f>
        <v>#N/A</v>
      </c>
      <c r="S69" t="e">
        <f>VLOOKUP($A69,'A Main Database'!$A:$R,19,0)</f>
        <v>#N/A</v>
      </c>
      <c r="U69" t="e">
        <f>VLOOKUP(B69,'A Main Database'!A:A,1,0)</f>
        <v>#N/A</v>
      </c>
      <c r="V69" t="e">
        <f>VLOOKUP(B69,'A Main Database'!I:I,1,0)</f>
        <v>#N/A</v>
      </c>
      <c r="W69" t="e">
        <f>VLOOKUP(B69,'A Main Database'!M:M,1,0)</f>
        <v>#N/A</v>
      </c>
      <c r="X69" t="e">
        <f>VLOOKUP(B69,'A Main Database'!P:P,1,0)</f>
        <v>#N/A</v>
      </c>
      <c r="Y69" t="s">
        <v>287</v>
      </c>
      <c r="Z69" t="s">
        <v>292</v>
      </c>
      <c r="AA69" t="str">
        <f t="shared" si="1"/>
        <v>host.io/submit</v>
      </c>
    </row>
    <row r="70" spans="1:27" x14ac:dyDescent="0.25">
      <c r="A70" t="str">
        <f t="shared" si="2"/>
        <v>incasa.site/submit</v>
      </c>
      <c r="B70" t="s">
        <v>148</v>
      </c>
      <c r="C70" s="4" t="e">
        <f>VLOOKUP($A70,'A Main Database'!$A:$R,3,0)</f>
        <v>#N/A</v>
      </c>
      <c r="D70" t="e">
        <f>VLOOKUP($A70,'A Main Database'!$A:$R,4,0)</f>
        <v>#N/A</v>
      </c>
      <c r="E70" t="e">
        <f>VLOOKUP($A70,'A Main Database'!$A:$R,5,0)</f>
        <v>#N/A</v>
      </c>
      <c r="F70" t="e">
        <f>VLOOKUP($A70,'A Main Database'!$A:$R,6,0)</f>
        <v>#N/A</v>
      </c>
      <c r="G70" t="e">
        <f>VLOOKUP($A70,'A Main Database'!$A:$R,7,0)</f>
        <v>#N/A</v>
      </c>
      <c r="H70" t="e">
        <f>VLOOKUP($A70,'A Main Database'!$A:$R,8,0)</f>
        <v>#N/A</v>
      </c>
      <c r="I70" t="e">
        <f>VLOOKUP($A70,'A Main Database'!$A:$R,9,0)</f>
        <v>#N/A</v>
      </c>
      <c r="J70" t="e">
        <f>VLOOKUP($A70,'A Main Database'!$A:$R,10,0)</f>
        <v>#N/A</v>
      </c>
      <c r="K70" t="e">
        <f>VLOOKUP($A70,'A Main Database'!$A:$R,11,0)</f>
        <v>#N/A</v>
      </c>
      <c r="L70" t="e">
        <f>VLOOKUP($A70,'A Main Database'!$A:$R,12,0)</f>
        <v>#N/A</v>
      </c>
      <c r="M70" t="e">
        <f>VLOOKUP($A70,'A Main Database'!$A:$R,13,0)</f>
        <v>#N/A</v>
      </c>
      <c r="N70" t="e">
        <f>VLOOKUP($A70,'A Main Database'!$A:$R,14,0)</f>
        <v>#N/A</v>
      </c>
      <c r="O70" t="e">
        <f>VLOOKUP($A70,'A Main Database'!$A:$R,15,0)</f>
        <v>#N/A</v>
      </c>
      <c r="P70" s="6" t="e">
        <f>VLOOKUP($A70,'A Main Database'!$A:$R,16,0)</f>
        <v>#N/A</v>
      </c>
      <c r="Q70" t="e">
        <f>VLOOKUP($A70,'A Main Database'!$A:$R,17,0)</f>
        <v>#N/A</v>
      </c>
      <c r="R70" t="e">
        <f>VLOOKUP($A70,'A Main Database'!$A:$R,18,0)</f>
        <v>#N/A</v>
      </c>
      <c r="S70" t="e">
        <f>VLOOKUP($A70,'A Main Database'!$A:$R,19,0)</f>
        <v>#N/A</v>
      </c>
      <c r="U70" t="e">
        <f>VLOOKUP(B70,'A Main Database'!A:A,1,0)</f>
        <v>#N/A</v>
      </c>
      <c r="V70" t="e">
        <f>VLOOKUP(B70,'A Main Database'!I:I,1,0)</f>
        <v>#N/A</v>
      </c>
      <c r="W70" t="e">
        <f>VLOOKUP(B70,'A Main Database'!M:M,1,0)</f>
        <v>#N/A</v>
      </c>
      <c r="X70" t="e">
        <f>VLOOKUP(B70,'A Main Database'!P:P,1,0)</f>
        <v>#N/A</v>
      </c>
      <c r="Y70" t="s">
        <v>287</v>
      </c>
      <c r="Z70" t="s">
        <v>292</v>
      </c>
      <c r="AA70" t="str">
        <f t="shared" ref="AA70:AA77" si="3">CONCATENATE(B70,Z70)</f>
        <v>incasa.site/submit</v>
      </c>
    </row>
    <row r="71" spans="1:27" x14ac:dyDescent="0.25">
      <c r="A71" t="str">
        <f t="shared" si="2"/>
        <v>janitorialserviceskatesa.blogspot.com/submit</v>
      </c>
      <c r="B71" t="s">
        <v>149</v>
      </c>
      <c r="C71" s="4" t="e">
        <f>VLOOKUP($A71,'A Main Database'!$A:$R,3,0)</f>
        <v>#N/A</v>
      </c>
      <c r="D71" t="e">
        <f>VLOOKUP($A71,'A Main Database'!$A:$R,4,0)</f>
        <v>#N/A</v>
      </c>
      <c r="E71" t="e">
        <f>VLOOKUP($A71,'A Main Database'!$A:$R,5,0)</f>
        <v>#N/A</v>
      </c>
      <c r="F71" t="e">
        <f>VLOOKUP($A71,'A Main Database'!$A:$R,6,0)</f>
        <v>#N/A</v>
      </c>
      <c r="G71" t="e">
        <f>VLOOKUP($A71,'A Main Database'!$A:$R,7,0)</f>
        <v>#N/A</v>
      </c>
      <c r="H71" t="e">
        <f>VLOOKUP($A71,'A Main Database'!$A:$R,8,0)</f>
        <v>#N/A</v>
      </c>
      <c r="I71" t="e">
        <f>VLOOKUP($A71,'A Main Database'!$A:$R,9,0)</f>
        <v>#N/A</v>
      </c>
      <c r="J71" t="e">
        <f>VLOOKUP($A71,'A Main Database'!$A:$R,10,0)</f>
        <v>#N/A</v>
      </c>
      <c r="K71" t="e">
        <f>VLOOKUP($A71,'A Main Database'!$A:$R,11,0)</f>
        <v>#N/A</v>
      </c>
      <c r="L71" t="e">
        <f>VLOOKUP($A71,'A Main Database'!$A:$R,12,0)</f>
        <v>#N/A</v>
      </c>
      <c r="M71" t="e">
        <f>VLOOKUP($A71,'A Main Database'!$A:$R,13,0)</f>
        <v>#N/A</v>
      </c>
      <c r="N71" t="e">
        <f>VLOOKUP($A71,'A Main Database'!$A:$R,14,0)</f>
        <v>#N/A</v>
      </c>
      <c r="O71" t="e">
        <f>VLOOKUP($A71,'A Main Database'!$A:$R,15,0)</f>
        <v>#N/A</v>
      </c>
      <c r="P71" s="6" t="e">
        <f>VLOOKUP($A71,'A Main Database'!$A:$R,16,0)</f>
        <v>#N/A</v>
      </c>
      <c r="Q71" t="e">
        <f>VLOOKUP($A71,'A Main Database'!$A:$R,17,0)</f>
        <v>#N/A</v>
      </c>
      <c r="R71" t="e">
        <f>VLOOKUP($A71,'A Main Database'!$A:$R,18,0)</f>
        <v>#N/A</v>
      </c>
      <c r="S71" t="e">
        <f>VLOOKUP($A71,'A Main Database'!$A:$R,19,0)</f>
        <v>#N/A</v>
      </c>
      <c r="U71" t="e">
        <f>VLOOKUP(B71,'A Main Database'!A:A,1,0)</f>
        <v>#N/A</v>
      </c>
      <c r="V71" t="e">
        <f>VLOOKUP(B71,'A Main Database'!I:I,1,0)</f>
        <v>#N/A</v>
      </c>
      <c r="W71" t="e">
        <f>VLOOKUP(B71,'A Main Database'!M:M,1,0)</f>
        <v>#N/A</v>
      </c>
      <c r="X71" t="e">
        <f>VLOOKUP(B71,'A Main Database'!P:P,1,0)</f>
        <v>#N/A</v>
      </c>
      <c r="Y71" t="s">
        <v>287</v>
      </c>
      <c r="Z71" t="s">
        <v>292</v>
      </c>
      <c r="AA71" t="str">
        <f t="shared" si="3"/>
        <v>janitorialserviceskatesa.blogspot.com/submit</v>
      </c>
    </row>
    <row r="72" spans="1:27" x14ac:dyDescent="0.25">
      <c r="A72" t="str">
        <f t="shared" si="2"/>
        <v>jraces.com/submit</v>
      </c>
      <c r="B72" t="s">
        <v>150</v>
      </c>
      <c r="C72" s="4" t="e">
        <f>VLOOKUP($A72,'A Main Database'!$A:$R,3,0)</f>
        <v>#N/A</v>
      </c>
      <c r="D72" t="e">
        <f>VLOOKUP($A72,'A Main Database'!$A:$R,4,0)</f>
        <v>#N/A</v>
      </c>
      <c r="E72" t="e">
        <f>VLOOKUP($A72,'A Main Database'!$A:$R,5,0)</f>
        <v>#N/A</v>
      </c>
      <c r="F72" t="e">
        <f>VLOOKUP($A72,'A Main Database'!$A:$R,6,0)</f>
        <v>#N/A</v>
      </c>
      <c r="G72" t="e">
        <f>VLOOKUP($A72,'A Main Database'!$A:$R,7,0)</f>
        <v>#N/A</v>
      </c>
      <c r="H72" t="e">
        <f>VLOOKUP($A72,'A Main Database'!$A:$R,8,0)</f>
        <v>#N/A</v>
      </c>
      <c r="I72" t="e">
        <f>VLOOKUP($A72,'A Main Database'!$A:$R,9,0)</f>
        <v>#N/A</v>
      </c>
      <c r="J72" t="e">
        <f>VLOOKUP($A72,'A Main Database'!$A:$R,10,0)</f>
        <v>#N/A</v>
      </c>
      <c r="K72" t="e">
        <f>VLOOKUP($A72,'A Main Database'!$A:$R,11,0)</f>
        <v>#N/A</v>
      </c>
      <c r="L72" t="e">
        <f>VLOOKUP($A72,'A Main Database'!$A:$R,12,0)</f>
        <v>#N/A</v>
      </c>
      <c r="M72" t="e">
        <f>VLOOKUP($A72,'A Main Database'!$A:$R,13,0)</f>
        <v>#N/A</v>
      </c>
      <c r="N72" t="e">
        <f>VLOOKUP($A72,'A Main Database'!$A:$R,14,0)</f>
        <v>#N/A</v>
      </c>
      <c r="O72" t="e">
        <f>VLOOKUP($A72,'A Main Database'!$A:$R,15,0)</f>
        <v>#N/A</v>
      </c>
      <c r="P72" s="6" t="e">
        <f>VLOOKUP($A72,'A Main Database'!$A:$R,16,0)</f>
        <v>#N/A</v>
      </c>
      <c r="Q72" t="e">
        <f>VLOOKUP($A72,'A Main Database'!$A:$R,17,0)</f>
        <v>#N/A</v>
      </c>
      <c r="R72" t="e">
        <f>VLOOKUP($A72,'A Main Database'!$A:$R,18,0)</f>
        <v>#N/A</v>
      </c>
      <c r="S72" t="e">
        <f>VLOOKUP($A72,'A Main Database'!$A:$R,19,0)</f>
        <v>#N/A</v>
      </c>
      <c r="U72" t="e">
        <f>VLOOKUP(B72,'A Main Database'!A:A,1,0)</f>
        <v>#N/A</v>
      </c>
      <c r="V72" t="e">
        <f>VLOOKUP(B72,'A Main Database'!I:I,1,0)</f>
        <v>#N/A</v>
      </c>
      <c r="W72" t="e">
        <f>VLOOKUP(B72,'A Main Database'!M:M,1,0)</f>
        <v>#N/A</v>
      </c>
      <c r="X72" t="e">
        <f>VLOOKUP(B72,'A Main Database'!P:P,1,0)</f>
        <v>#N/A</v>
      </c>
      <c r="Y72" t="s">
        <v>287</v>
      </c>
      <c r="Z72" t="s">
        <v>292</v>
      </c>
      <c r="AA72" t="str">
        <f t="shared" si="3"/>
        <v>jraces.com/submit</v>
      </c>
    </row>
    <row r="73" spans="1:27" x14ac:dyDescent="0.25">
      <c r="A73" t="str">
        <f t="shared" si="2"/>
        <v>localyaar.com/submit</v>
      </c>
      <c r="B73" t="s">
        <v>151</v>
      </c>
      <c r="C73" s="4" t="e">
        <f>VLOOKUP($A73,'A Main Database'!$A:$R,3,0)</f>
        <v>#N/A</v>
      </c>
      <c r="D73" t="e">
        <f>VLOOKUP($A73,'A Main Database'!$A:$R,4,0)</f>
        <v>#N/A</v>
      </c>
      <c r="E73" t="e">
        <f>VLOOKUP($A73,'A Main Database'!$A:$R,5,0)</f>
        <v>#N/A</v>
      </c>
      <c r="F73" t="e">
        <f>VLOOKUP($A73,'A Main Database'!$A:$R,6,0)</f>
        <v>#N/A</v>
      </c>
      <c r="G73" t="e">
        <f>VLOOKUP($A73,'A Main Database'!$A:$R,7,0)</f>
        <v>#N/A</v>
      </c>
      <c r="H73" t="e">
        <f>VLOOKUP($A73,'A Main Database'!$A:$R,8,0)</f>
        <v>#N/A</v>
      </c>
      <c r="I73" t="e">
        <f>VLOOKUP($A73,'A Main Database'!$A:$R,9,0)</f>
        <v>#N/A</v>
      </c>
      <c r="J73" t="e">
        <f>VLOOKUP($A73,'A Main Database'!$A:$R,10,0)</f>
        <v>#N/A</v>
      </c>
      <c r="K73" t="e">
        <f>VLOOKUP($A73,'A Main Database'!$A:$R,11,0)</f>
        <v>#N/A</v>
      </c>
      <c r="L73" t="e">
        <f>VLOOKUP($A73,'A Main Database'!$A:$R,12,0)</f>
        <v>#N/A</v>
      </c>
      <c r="M73" t="e">
        <f>VLOOKUP($A73,'A Main Database'!$A:$R,13,0)</f>
        <v>#N/A</v>
      </c>
      <c r="N73" t="e">
        <f>VLOOKUP($A73,'A Main Database'!$A:$R,14,0)</f>
        <v>#N/A</v>
      </c>
      <c r="O73" t="e">
        <f>VLOOKUP($A73,'A Main Database'!$A:$R,15,0)</f>
        <v>#N/A</v>
      </c>
      <c r="P73" s="6" t="e">
        <f>VLOOKUP($A73,'A Main Database'!$A:$R,16,0)</f>
        <v>#N/A</v>
      </c>
      <c r="Q73" t="e">
        <f>VLOOKUP($A73,'A Main Database'!$A:$R,17,0)</f>
        <v>#N/A</v>
      </c>
      <c r="R73" t="e">
        <f>VLOOKUP($A73,'A Main Database'!$A:$R,18,0)</f>
        <v>#N/A</v>
      </c>
      <c r="S73" t="e">
        <f>VLOOKUP($A73,'A Main Database'!$A:$R,19,0)</f>
        <v>#N/A</v>
      </c>
      <c r="U73" t="e">
        <f>VLOOKUP(B73,'A Main Database'!A:A,1,0)</f>
        <v>#N/A</v>
      </c>
      <c r="V73" t="e">
        <f>VLOOKUP(B73,'A Main Database'!I:I,1,0)</f>
        <v>#N/A</v>
      </c>
      <c r="W73" t="e">
        <f>VLOOKUP(B73,'A Main Database'!M:M,1,0)</f>
        <v>#N/A</v>
      </c>
      <c r="X73" t="e">
        <f>VLOOKUP(B73,'A Main Database'!P:P,1,0)</f>
        <v>#N/A</v>
      </c>
      <c r="Y73" t="s">
        <v>287</v>
      </c>
      <c r="Z73" t="s">
        <v>292</v>
      </c>
      <c r="AA73" t="str">
        <f t="shared" si="3"/>
        <v>localyaar.com/submit</v>
      </c>
    </row>
    <row r="74" spans="1:27" x14ac:dyDescent="0.25">
      <c r="A74" t="str">
        <f t="shared" si="2"/>
        <v>mappca.com/submit</v>
      </c>
      <c r="B74" t="s">
        <v>152</v>
      </c>
      <c r="C74" s="4" t="e">
        <f>VLOOKUP($A74,'A Main Database'!$A:$R,3,0)</f>
        <v>#N/A</v>
      </c>
      <c r="D74" t="e">
        <f>VLOOKUP($A74,'A Main Database'!$A:$R,4,0)</f>
        <v>#N/A</v>
      </c>
      <c r="E74" t="e">
        <f>VLOOKUP($A74,'A Main Database'!$A:$R,5,0)</f>
        <v>#N/A</v>
      </c>
      <c r="F74" t="e">
        <f>VLOOKUP($A74,'A Main Database'!$A:$R,6,0)</f>
        <v>#N/A</v>
      </c>
      <c r="G74" t="e">
        <f>VLOOKUP($A74,'A Main Database'!$A:$R,7,0)</f>
        <v>#N/A</v>
      </c>
      <c r="H74" t="e">
        <f>VLOOKUP($A74,'A Main Database'!$A:$R,8,0)</f>
        <v>#N/A</v>
      </c>
      <c r="I74" t="e">
        <f>VLOOKUP($A74,'A Main Database'!$A:$R,9,0)</f>
        <v>#N/A</v>
      </c>
      <c r="J74" t="e">
        <f>VLOOKUP($A74,'A Main Database'!$A:$R,10,0)</f>
        <v>#N/A</v>
      </c>
      <c r="K74" t="e">
        <f>VLOOKUP($A74,'A Main Database'!$A:$R,11,0)</f>
        <v>#N/A</v>
      </c>
      <c r="L74" t="e">
        <f>VLOOKUP($A74,'A Main Database'!$A:$R,12,0)</f>
        <v>#N/A</v>
      </c>
      <c r="M74" t="e">
        <f>VLOOKUP($A74,'A Main Database'!$A:$R,13,0)</f>
        <v>#N/A</v>
      </c>
      <c r="N74" t="e">
        <f>VLOOKUP($A74,'A Main Database'!$A:$R,14,0)</f>
        <v>#N/A</v>
      </c>
      <c r="O74" t="e">
        <f>VLOOKUP($A74,'A Main Database'!$A:$R,15,0)</f>
        <v>#N/A</v>
      </c>
      <c r="P74" s="6" t="e">
        <f>VLOOKUP($A74,'A Main Database'!$A:$R,16,0)</f>
        <v>#N/A</v>
      </c>
      <c r="Q74" t="e">
        <f>VLOOKUP($A74,'A Main Database'!$A:$R,17,0)</f>
        <v>#N/A</v>
      </c>
      <c r="R74" t="e">
        <f>VLOOKUP($A74,'A Main Database'!$A:$R,18,0)</f>
        <v>#N/A</v>
      </c>
      <c r="S74" t="e">
        <f>VLOOKUP($A74,'A Main Database'!$A:$R,19,0)</f>
        <v>#N/A</v>
      </c>
      <c r="U74" t="e">
        <f>VLOOKUP(B74,'A Main Database'!A:A,1,0)</f>
        <v>#N/A</v>
      </c>
      <c r="V74" t="e">
        <f>VLOOKUP(B74,'A Main Database'!I:I,1,0)</f>
        <v>#N/A</v>
      </c>
      <c r="W74" t="e">
        <f>VLOOKUP(B74,'A Main Database'!M:M,1,0)</f>
        <v>#N/A</v>
      </c>
      <c r="X74" t="e">
        <f>VLOOKUP(B74,'A Main Database'!P:P,1,0)</f>
        <v>#N/A</v>
      </c>
      <c r="Y74" t="s">
        <v>287</v>
      </c>
      <c r="Z74" t="s">
        <v>292</v>
      </c>
      <c r="AA74" t="str">
        <f t="shared" si="3"/>
        <v>mappca.com/submit</v>
      </c>
    </row>
    <row r="75" spans="1:27" x14ac:dyDescent="0.25">
      <c r="A75" t="str">
        <f t="shared" si="2"/>
        <v>pr.co/submit</v>
      </c>
      <c r="B75" t="s">
        <v>153</v>
      </c>
      <c r="C75" s="4" t="e">
        <f>VLOOKUP($A75,'A Main Database'!$A:$R,3,0)</f>
        <v>#N/A</v>
      </c>
      <c r="D75" t="e">
        <f>VLOOKUP($A75,'A Main Database'!$A:$R,4,0)</f>
        <v>#N/A</v>
      </c>
      <c r="E75" t="e">
        <f>VLOOKUP($A75,'A Main Database'!$A:$R,5,0)</f>
        <v>#N/A</v>
      </c>
      <c r="F75" t="e">
        <f>VLOOKUP($A75,'A Main Database'!$A:$R,6,0)</f>
        <v>#N/A</v>
      </c>
      <c r="G75" t="e">
        <f>VLOOKUP($A75,'A Main Database'!$A:$R,7,0)</f>
        <v>#N/A</v>
      </c>
      <c r="H75" t="e">
        <f>VLOOKUP($A75,'A Main Database'!$A:$R,8,0)</f>
        <v>#N/A</v>
      </c>
      <c r="I75" t="e">
        <f>VLOOKUP($A75,'A Main Database'!$A:$R,9,0)</f>
        <v>#N/A</v>
      </c>
      <c r="J75" t="e">
        <f>VLOOKUP($A75,'A Main Database'!$A:$R,10,0)</f>
        <v>#N/A</v>
      </c>
      <c r="K75" t="e">
        <f>VLOOKUP($A75,'A Main Database'!$A:$R,11,0)</f>
        <v>#N/A</v>
      </c>
      <c r="L75" t="e">
        <f>VLOOKUP($A75,'A Main Database'!$A:$R,12,0)</f>
        <v>#N/A</v>
      </c>
      <c r="M75" t="e">
        <f>VLOOKUP($A75,'A Main Database'!$A:$R,13,0)</f>
        <v>#N/A</v>
      </c>
      <c r="N75" t="e">
        <f>VLOOKUP($A75,'A Main Database'!$A:$R,14,0)</f>
        <v>#N/A</v>
      </c>
      <c r="O75" t="e">
        <f>VLOOKUP($A75,'A Main Database'!$A:$R,15,0)</f>
        <v>#N/A</v>
      </c>
      <c r="P75" s="6" t="e">
        <f>VLOOKUP($A75,'A Main Database'!$A:$R,16,0)</f>
        <v>#N/A</v>
      </c>
      <c r="Q75" t="e">
        <f>VLOOKUP($A75,'A Main Database'!$A:$R,17,0)</f>
        <v>#N/A</v>
      </c>
      <c r="R75" t="e">
        <f>VLOOKUP($A75,'A Main Database'!$A:$R,18,0)</f>
        <v>#N/A</v>
      </c>
      <c r="S75" t="e">
        <f>VLOOKUP($A75,'A Main Database'!$A:$R,19,0)</f>
        <v>#N/A</v>
      </c>
      <c r="U75" t="e">
        <f>VLOOKUP(B75,'A Main Database'!A:A,1,0)</f>
        <v>#N/A</v>
      </c>
      <c r="V75" t="e">
        <f>VLOOKUP(B75,'A Main Database'!I:I,1,0)</f>
        <v>#N/A</v>
      </c>
      <c r="W75" t="e">
        <f>VLOOKUP(B75,'A Main Database'!M:M,1,0)</f>
        <v>#N/A</v>
      </c>
      <c r="X75" t="e">
        <f>VLOOKUP(B75,'A Main Database'!P:P,1,0)</f>
        <v>#N/A</v>
      </c>
      <c r="Y75" t="s">
        <v>287</v>
      </c>
      <c r="Z75" t="s">
        <v>292</v>
      </c>
      <c r="AA75" t="str">
        <f t="shared" si="3"/>
        <v>pr.co/submit</v>
      </c>
    </row>
    <row r="76" spans="1:27" x14ac:dyDescent="0.25">
      <c r="A76" t="str">
        <f t="shared" si="2"/>
        <v>membee.com/submit</v>
      </c>
      <c r="B76" t="s">
        <v>154</v>
      </c>
      <c r="C76" s="4" t="e">
        <f>VLOOKUP($A76,'A Main Database'!$A:$R,3,0)</f>
        <v>#N/A</v>
      </c>
      <c r="D76" t="e">
        <f>VLOOKUP($A76,'A Main Database'!$A:$R,4,0)</f>
        <v>#N/A</v>
      </c>
      <c r="E76" t="e">
        <f>VLOOKUP($A76,'A Main Database'!$A:$R,5,0)</f>
        <v>#N/A</v>
      </c>
      <c r="F76" t="e">
        <f>VLOOKUP($A76,'A Main Database'!$A:$R,6,0)</f>
        <v>#N/A</v>
      </c>
      <c r="G76" t="e">
        <f>VLOOKUP($A76,'A Main Database'!$A:$R,7,0)</f>
        <v>#N/A</v>
      </c>
      <c r="H76" t="e">
        <f>VLOOKUP($A76,'A Main Database'!$A:$R,8,0)</f>
        <v>#N/A</v>
      </c>
      <c r="I76" t="e">
        <f>VLOOKUP($A76,'A Main Database'!$A:$R,9,0)</f>
        <v>#N/A</v>
      </c>
      <c r="J76" t="e">
        <f>VLOOKUP($A76,'A Main Database'!$A:$R,10,0)</f>
        <v>#N/A</v>
      </c>
      <c r="K76" t="e">
        <f>VLOOKUP($A76,'A Main Database'!$A:$R,11,0)</f>
        <v>#N/A</v>
      </c>
      <c r="L76" t="e">
        <f>VLOOKUP($A76,'A Main Database'!$A:$R,12,0)</f>
        <v>#N/A</v>
      </c>
      <c r="M76" t="e">
        <f>VLOOKUP($A76,'A Main Database'!$A:$R,13,0)</f>
        <v>#N/A</v>
      </c>
      <c r="N76" t="e">
        <f>VLOOKUP($A76,'A Main Database'!$A:$R,14,0)</f>
        <v>#N/A</v>
      </c>
      <c r="O76" t="e">
        <f>VLOOKUP($A76,'A Main Database'!$A:$R,15,0)</f>
        <v>#N/A</v>
      </c>
      <c r="P76" s="6" t="e">
        <f>VLOOKUP($A76,'A Main Database'!$A:$R,16,0)</f>
        <v>#N/A</v>
      </c>
      <c r="Q76" t="e">
        <f>VLOOKUP($A76,'A Main Database'!$A:$R,17,0)</f>
        <v>#N/A</v>
      </c>
      <c r="R76" t="e">
        <f>VLOOKUP($A76,'A Main Database'!$A:$R,18,0)</f>
        <v>#N/A</v>
      </c>
      <c r="S76" t="e">
        <f>VLOOKUP($A76,'A Main Database'!$A:$R,19,0)</f>
        <v>#N/A</v>
      </c>
      <c r="U76" t="e">
        <f>VLOOKUP(B76,'A Main Database'!A:A,1,0)</f>
        <v>#N/A</v>
      </c>
      <c r="V76" t="e">
        <f>VLOOKUP(B76,'A Main Database'!I:I,1,0)</f>
        <v>#N/A</v>
      </c>
      <c r="W76" t="e">
        <f>VLOOKUP(B76,'A Main Database'!M:M,1,0)</f>
        <v>#N/A</v>
      </c>
      <c r="X76" t="e">
        <f>VLOOKUP(B76,'A Main Database'!P:P,1,0)</f>
        <v>#N/A</v>
      </c>
      <c r="Y76" t="s">
        <v>287</v>
      </c>
      <c r="Z76" t="s">
        <v>292</v>
      </c>
      <c r="AA76" t="str">
        <f t="shared" si="3"/>
        <v>membee.com/submit</v>
      </c>
    </row>
    <row r="77" spans="1:27" x14ac:dyDescent="0.25">
      <c r="A77" t="str">
        <f t="shared" si="2"/>
        <v>constantcontact.com/submit</v>
      </c>
      <c r="B77" t="s">
        <v>155</v>
      </c>
      <c r="C77" s="4" t="e">
        <f>VLOOKUP($A77,'A Main Database'!$A:$R,3,0)</f>
        <v>#N/A</v>
      </c>
      <c r="D77" t="e">
        <f>VLOOKUP($A77,'A Main Database'!$A:$R,4,0)</f>
        <v>#N/A</v>
      </c>
      <c r="E77" t="e">
        <f>VLOOKUP($A77,'A Main Database'!$A:$R,5,0)</f>
        <v>#N/A</v>
      </c>
      <c r="F77" t="e">
        <f>VLOOKUP($A77,'A Main Database'!$A:$R,6,0)</f>
        <v>#N/A</v>
      </c>
      <c r="G77" t="e">
        <f>VLOOKUP($A77,'A Main Database'!$A:$R,7,0)</f>
        <v>#N/A</v>
      </c>
      <c r="H77" t="e">
        <f>VLOOKUP($A77,'A Main Database'!$A:$R,8,0)</f>
        <v>#N/A</v>
      </c>
      <c r="I77" t="e">
        <f>VLOOKUP($A77,'A Main Database'!$A:$R,9,0)</f>
        <v>#N/A</v>
      </c>
      <c r="J77" t="e">
        <f>VLOOKUP($A77,'A Main Database'!$A:$R,10,0)</f>
        <v>#N/A</v>
      </c>
      <c r="K77" t="e">
        <f>VLOOKUP($A77,'A Main Database'!$A:$R,11,0)</f>
        <v>#N/A</v>
      </c>
      <c r="L77" t="e">
        <f>VLOOKUP($A77,'A Main Database'!$A:$R,12,0)</f>
        <v>#N/A</v>
      </c>
      <c r="M77" t="e">
        <f>VLOOKUP($A77,'A Main Database'!$A:$R,13,0)</f>
        <v>#N/A</v>
      </c>
      <c r="N77" t="e">
        <f>VLOOKUP($A77,'A Main Database'!$A:$R,14,0)</f>
        <v>#N/A</v>
      </c>
      <c r="O77" t="e">
        <f>VLOOKUP($A77,'A Main Database'!$A:$R,15,0)</f>
        <v>#N/A</v>
      </c>
      <c r="P77" s="6" t="e">
        <f>VLOOKUP($A77,'A Main Database'!$A:$R,16,0)</f>
        <v>#N/A</v>
      </c>
      <c r="Q77" t="e">
        <f>VLOOKUP($A77,'A Main Database'!$A:$R,17,0)</f>
        <v>#N/A</v>
      </c>
      <c r="R77" t="e">
        <f>VLOOKUP($A77,'A Main Database'!$A:$R,18,0)</f>
        <v>#N/A</v>
      </c>
      <c r="S77" t="e">
        <f>VLOOKUP($A77,'A Main Database'!$A:$R,19,0)</f>
        <v>#N/A</v>
      </c>
      <c r="U77" t="e">
        <f>VLOOKUP(B77,'A Main Database'!A:A,1,0)</f>
        <v>#N/A</v>
      </c>
      <c r="V77" t="e">
        <f>VLOOKUP(B77,'A Main Database'!I:I,1,0)</f>
        <v>#N/A</v>
      </c>
      <c r="W77" t="e">
        <f>VLOOKUP(B77,'A Main Database'!M:M,1,0)</f>
        <v>#N/A</v>
      </c>
      <c r="X77" t="e">
        <f>VLOOKUP(B77,'A Main Database'!P:P,1,0)</f>
        <v>#N/A</v>
      </c>
      <c r="Y77" t="s">
        <v>287</v>
      </c>
      <c r="Z77" t="s">
        <v>292</v>
      </c>
      <c r="AA77" t="str">
        <f t="shared" si="3"/>
        <v>constantcontact.com/submit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50"/>
  </sheetPr>
  <dimension ref="A5:B9"/>
  <sheetViews>
    <sheetView showGridLines="0" tabSelected="1" workbookViewId="0">
      <selection activeCell="L11" sqref="L11"/>
    </sheetView>
  </sheetViews>
  <sheetFormatPr defaultRowHeight="15" x14ac:dyDescent="0.25"/>
  <sheetData>
    <row r="5" spans="1:2" x14ac:dyDescent="0.25">
      <c r="B5" s="7" t="s">
        <v>294</v>
      </c>
    </row>
    <row r="6" spans="1:2" x14ac:dyDescent="0.25">
      <c r="A6">
        <v>1</v>
      </c>
      <c r="B6" t="s">
        <v>295</v>
      </c>
    </row>
    <row r="7" spans="1:2" x14ac:dyDescent="0.25">
      <c r="A7">
        <v>2</v>
      </c>
      <c r="B7" t="s">
        <v>297</v>
      </c>
    </row>
    <row r="8" spans="1:2" x14ac:dyDescent="0.25">
      <c r="A8">
        <v>3</v>
      </c>
      <c r="B8" t="s">
        <v>298</v>
      </c>
    </row>
    <row r="9" spans="1:2" x14ac:dyDescent="0.25">
      <c r="A9">
        <v>4</v>
      </c>
      <c r="B9" t="s">
        <v>296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69"/>
  <sheetViews>
    <sheetView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F6" sqref="F6"/>
    </sheetView>
  </sheetViews>
  <sheetFormatPr defaultRowHeight="15" x14ac:dyDescent="0.25"/>
  <cols>
    <col min="1" max="1" width="46.85546875" bestFit="1" customWidth="1"/>
    <col min="2" max="2" width="16.5703125" bestFit="1" customWidth="1"/>
    <col min="3" max="4" width="9.42578125" bestFit="1" customWidth="1"/>
    <col min="5" max="5" width="7" customWidth="1"/>
    <col min="6" max="6" width="13.85546875" bestFit="1" customWidth="1"/>
    <col min="7" max="7" width="13.7109375" bestFit="1" customWidth="1"/>
    <col min="8" max="8" width="13.42578125" bestFit="1" customWidth="1"/>
    <col min="9" max="9" width="10" bestFit="1" customWidth="1"/>
    <col min="10" max="10" width="12.140625" bestFit="1" customWidth="1"/>
    <col min="11" max="11" width="15.42578125" customWidth="1"/>
    <col min="12" max="12" width="13.28515625" bestFit="1" customWidth="1"/>
    <col min="13" max="13" width="64.42578125" bestFit="1" customWidth="1"/>
    <col min="14" max="14" width="6" customWidth="1"/>
    <col min="15" max="15" width="14.42578125" bestFit="1" customWidth="1"/>
    <col min="16" max="16" width="63.7109375" bestFit="1" customWidth="1"/>
    <col min="17" max="17" width="23.42578125" bestFit="1" customWidth="1"/>
    <col min="18" max="18" width="46.85546875" bestFit="1" customWidth="1"/>
    <col min="21" max="21" width="12.5703125" bestFit="1" customWidth="1"/>
  </cols>
  <sheetData>
    <row r="1" spans="1:26" x14ac:dyDescent="0.25">
      <c r="A1" t="s">
        <v>0</v>
      </c>
    </row>
    <row r="3" spans="1:26" x14ac:dyDescent="0.25">
      <c r="A3" s="7" t="s">
        <v>281</v>
      </c>
    </row>
    <row r="4" spans="1:26" x14ac:dyDescent="0.25">
      <c r="A4" s="1" t="s">
        <v>1</v>
      </c>
      <c r="B4" s="1" t="s">
        <v>1</v>
      </c>
      <c r="C4" s="1" t="s">
        <v>1</v>
      </c>
      <c r="D4" s="1" t="s">
        <v>1</v>
      </c>
      <c r="E4" s="1"/>
      <c r="F4" s="1"/>
      <c r="G4" s="1"/>
      <c r="H4" s="1"/>
      <c r="I4" s="1"/>
      <c r="J4" s="1"/>
      <c r="K4" s="1" t="s">
        <v>1</v>
      </c>
      <c r="L4" s="1" t="s">
        <v>1</v>
      </c>
      <c r="M4" s="1" t="s">
        <v>1</v>
      </c>
      <c r="N4" s="1"/>
      <c r="O4" s="1" t="s">
        <v>1</v>
      </c>
      <c r="P4" s="1" t="s">
        <v>1</v>
      </c>
      <c r="Q4" s="1" t="s">
        <v>1</v>
      </c>
      <c r="R4" s="1" t="s">
        <v>1</v>
      </c>
    </row>
    <row r="5" spans="1:26" x14ac:dyDescent="0.25">
      <c r="A5" s="2" t="s">
        <v>3</v>
      </c>
      <c r="B5" s="1" t="s">
        <v>4</v>
      </c>
      <c r="C5" s="1" t="s">
        <v>5</v>
      </c>
      <c r="D5" s="1" t="s">
        <v>6</v>
      </c>
      <c r="E5" s="1" t="s">
        <v>2</v>
      </c>
      <c r="F5" s="1" t="s">
        <v>7</v>
      </c>
      <c r="G5" s="1" t="s">
        <v>8</v>
      </c>
      <c r="H5" s="1" t="s">
        <v>9</v>
      </c>
      <c r="I5" s="9" t="s">
        <v>284</v>
      </c>
      <c r="J5" s="1" t="s">
        <v>10</v>
      </c>
      <c r="K5" s="1" t="s">
        <v>11</v>
      </c>
      <c r="L5" s="1" t="s">
        <v>12</v>
      </c>
      <c r="M5" s="2" t="s">
        <v>13</v>
      </c>
      <c r="N5" s="2" t="s">
        <v>14</v>
      </c>
      <c r="O5" s="3" t="s">
        <v>15</v>
      </c>
      <c r="P5" s="1" t="s">
        <v>16</v>
      </c>
      <c r="Q5" s="1" t="s">
        <v>17</v>
      </c>
      <c r="R5" s="1" t="s">
        <v>280</v>
      </c>
      <c r="U5" s="1" t="s">
        <v>299</v>
      </c>
    </row>
    <row r="6" spans="1:26" x14ac:dyDescent="0.25">
      <c r="A6" s="10" t="s">
        <v>18</v>
      </c>
      <c r="B6" s="11">
        <v>0.28000000000000003</v>
      </c>
      <c r="C6" s="10">
        <v>53</v>
      </c>
      <c r="D6" s="10">
        <v>30</v>
      </c>
      <c r="E6" s="10" t="s">
        <v>83</v>
      </c>
      <c r="F6" s="10" t="s">
        <v>156</v>
      </c>
      <c r="G6" s="10" t="s">
        <v>160</v>
      </c>
      <c r="H6" s="10" t="s">
        <v>163</v>
      </c>
      <c r="I6" s="10"/>
      <c r="J6" s="10" t="s">
        <v>128</v>
      </c>
      <c r="K6" s="10" t="s">
        <v>285</v>
      </c>
      <c r="L6" s="10" t="s">
        <v>174</v>
      </c>
      <c r="M6" s="10" t="s">
        <v>178</v>
      </c>
      <c r="N6" s="10" t="s">
        <v>225</v>
      </c>
      <c r="O6" s="12" t="s">
        <v>228</v>
      </c>
      <c r="P6" s="10" t="s">
        <v>231</v>
      </c>
      <c r="Q6" s="10" t="s">
        <v>276</v>
      </c>
      <c r="R6" s="10" t="s">
        <v>18</v>
      </c>
      <c r="S6" s="10"/>
      <c r="T6" s="10" t="s">
        <v>128</v>
      </c>
      <c r="U6" s="10"/>
      <c r="V6" s="10"/>
      <c r="W6" s="10"/>
      <c r="X6" s="10"/>
      <c r="Y6" s="10"/>
      <c r="Z6" s="10"/>
    </row>
    <row r="7" spans="1:26" x14ac:dyDescent="0.25">
      <c r="A7" s="10" t="s">
        <v>20</v>
      </c>
      <c r="B7" s="10" t="s">
        <v>19</v>
      </c>
      <c r="C7" s="10">
        <v>41</v>
      </c>
      <c r="D7" s="10">
        <v>26</v>
      </c>
      <c r="E7" s="10" t="s">
        <v>83</v>
      </c>
      <c r="F7" s="10" t="s">
        <v>156</v>
      </c>
      <c r="G7" s="10" t="s">
        <v>160</v>
      </c>
      <c r="H7" s="10" t="s">
        <v>164</v>
      </c>
      <c r="I7" s="10"/>
      <c r="J7" s="10" t="s">
        <v>128</v>
      </c>
      <c r="K7" s="10" t="s">
        <v>166</v>
      </c>
      <c r="L7" s="10" t="s">
        <v>174</v>
      </c>
      <c r="M7" s="10" t="s">
        <v>179</v>
      </c>
      <c r="N7" s="10" t="s">
        <v>225</v>
      </c>
      <c r="O7" s="12" t="s">
        <v>229</v>
      </c>
      <c r="P7" s="10" t="s">
        <v>232</v>
      </c>
      <c r="Q7" s="10" t="s">
        <v>276</v>
      </c>
      <c r="R7" s="10" t="s">
        <v>87</v>
      </c>
      <c r="S7" s="10"/>
      <c r="T7" s="10" t="s">
        <v>128</v>
      </c>
      <c r="U7" s="10"/>
      <c r="V7" s="10"/>
      <c r="W7" s="10"/>
      <c r="X7" s="10"/>
      <c r="Y7" s="10"/>
      <c r="Z7" s="10"/>
    </row>
    <row r="8" spans="1:26" x14ac:dyDescent="0.25">
      <c r="A8" s="10" t="s">
        <v>21</v>
      </c>
      <c r="B8" s="11">
        <v>0.13</v>
      </c>
      <c r="C8" s="10">
        <v>29</v>
      </c>
      <c r="D8" s="10">
        <v>26</v>
      </c>
      <c r="E8" s="10" t="s">
        <v>84</v>
      </c>
      <c r="F8" s="10" t="s">
        <v>156</v>
      </c>
      <c r="G8" s="10" t="s">
        <v>160</v>
      </c>
      <c r="H8" s="10" t="s">
        <v>164</v>
      </c>
      <c r="I8" s="10"/>
      <c r="J8" s="10" t="s">
        <v>128</v>
      </c>
      <c r="K8" s="10" t="s">
        <v>166</v>
      </c>
      <c r="L8" s="10" t="s">
        <v>174</v>
      </c>
      <c r="M8" s="10" t="s">
        <v>180</v>
      </c>
      <c r="N8" s="10" t="s">
        <v>225</v>
      </c>
      <c r="O8" s="12" t="s">
        <v>230</v>
      </c>
      <c r="P8" s="10" t="s">
        <v>233</v>
      </c>
      <c r="Q8" s="10" t="s">
        <v>276</v>
      </c>
      <c r="R8" s="10" t="s">
        <v>88</v>
      </c>
      <c r="S8" s="10"/>
      <c r="T8" s="10" t="s">
        <v>128</v>
      </c>
      <c r="U8" s="10"/>
      <c r="V8" s="10"/>
      <c r="W8" s="10"/>
      <c r="X8" s="10"/>
      <c r="Y8" s="10"/>
      <c r="Z8" s="10"/>
    </row>
    <row r="9" spans="1:26" x14ac:dyDescent="0.25">
      <c r="A9" s="10" t="s">
        <v>22</v>
      </c>
      <c r="B9" s="11">
        <v>0.04</v>
      </c>
      <c r="C9" s="10">
        <v>55</v>
      </c>
      <c r="D9" s="10">
        <v>32</v>
      </c>
      <c r="E9" s="10" t="s">
        <v>84</v>
      </c>
      <c r="F9" s="10" t="s">
        <v>156</v>
      </c>
      <c r="G9" s="10" t="s">
        <v>160</v>
      </c>
      <c r="H9" s="10" t="s">
        <v>165</v>
      </c>
      <c r="I9" s="10"/>
      <c r="J9" s="10" t="s">
        <v>128</v>
      </c>
      <c r="K9" s="10" t="s">
        <v>166</v>
      </c>
      <c r="L9" s="10" t="s">
        <v>174</v>
      </c>
      <c r="M9" s="10" t="s">
        <v>181</v>
      </c>
      <c r="N9" s="10" t="s">
        <v>225</v>
      </c>
      <c r="O9" s="12" t="s">
        <v>228</v>
      </c>
      <c r="P9" s="10" t="s">
        <v>234</v>
      </c>
      <c r="Q9" s="10" t="s">
        <v>276</v>
      </c>
      <c r="R9" s="10" t="s">
        <v>89</v>
      </c>
      <c r="S9" s="10"/>
      <c r="T9" s="10" t="s">
        <v>128</v>
      </c>
      <c r="U9" s="10"/>
      <c r="V9" s="10"/>
      <c r="W9" s="10"/>
      <c r="X9" s="10"/>
      <c r="Y9" s="10"/>
      <c r="Z9" s="10"/>
    </row>
    <row r="10" spans="1:26" x14ac:dyDescent="0.25">
      <c r="A10" s="10" t="s">
        <v>23</v>
      </c>
      <c r="B10" s="11">
        <v>0.52</v>
      </c>
      <c r="C10" s="10">
        <v>1</v>
      </c>
      <c r="D10" s="10">
        <v>27</v>
      </c>
      <c r="E10" s="10" t="s">
        <v>84</v>
      </c>
      <c r="F10" s="10" t="s">
        <v>156</v>
      </c>
      <c r="G10" s="10" t="s">
        <v>160</v>
      </c>
      <c r="H10" s="10" t="s">
        <v>165</v>
      </c>
      <c r="I10" s="10"/>
      <c r="J10" s="10" t="s">
        <v>128</v>
      </c>
      <c r="K10" s="10" t="s">
        <v>167</v>
      </c>
      <c r="L10" s="10" t="s">
        <v>174</v>
      </c>
      <c r="M10" s="10" t="s">
        <v>182</v>
      </c>
      <c r="N10" s="10" t="s">
        <v>225</v>
      </c>
      <c r="O10" s="12" t="s">
        <v>229</v>
      </c>
      <c r="P10" s="10" t="s">
        <v>235</v>
      </c>
      <c r="Q10" s="10" t="s">
        <v>276</v>
      </c>
      <c r="R10" s="10" t="s">
        <v>23</v>
      </c>
      <c r="S10" s="10"/>
      <c r="T10" s="10" t="s">
        <v>128</v>
      </c>
      <c r="U10" s="10"/>
      <c r="V10" s="10"/>
      <c r="W10" s="10"/>
      <c r="X10" s="10"/>
      <c r="Y10" s="10"/>
      <c r="Z10" s="10"/>
    </row>
    <row r="11" spans="1:26" x14ac:dyDescent="0.25">
      <c r="A11" s="10" t="s">
        <v>24</v>
      </c>
      <c r="B11" s="11">
        <v>0.02</v>
      </c>
      <c r="C11" s="10">
        <v>34</v>
      </c>
      <c r="D11" s="10">
        <v>24</v>
      </c>
      <c r="E11" s="10" t="s">
        <v>83</v>
      </c>
      <c r="F11" s="10" t="s">
        <v>156</v>
      </c>
      <c r="G11" s="10" t="s">
        <v>160</v>
      </c>
      <c r="H11" s="10" t="s">
        <v>165</v>
      </c>
      <c r="I11" s="10"/>
      <c r="J11" s="10" t="s">
        <v>128</v>
      </c>
      <c r="K11" s="10" t="s">
        <v>167</v>
      </c>
      <c r="L11" s="10" t="s">
        <v>175</v>
      </c>
      <c r="M11" s="10" t="s">
        <v>183</v>
      </c>
      <c r="N11" s="10" t="s">
        <v>225</v>
      </c>
      <c r="O11" s="12" t="s">
        <v>230</v>
      </c>
      <c r="P11" s="10" t="s">
        <v>236</v>
      </c>
      <c r="Q11" s="10" t="s">
        <v>276</v>
      </c>
      <c r="R11" s="10" t="s">
        <v>90</v>
      </c>
      <c r="S11" s="10"/>
      <c r="T11" s="10" t="s">
        <v>128</v>
      </c>
      <c r="U11" s="10"/>
      <c r="V11" s="10"/>
      <c r="W11" s="10"/>
      <c r="X11" s="10"/>
      <c r="Y11" s="10"/>
      <c r="Z11" s="10"/>
    </row>
    <row r="12" spans="1:26" x14ac:dyDescent="0.25">
      <c r="A12" s="10" t="s">
        <v>25</v>
      </c>
      <c r="B12" s="11">
        <v>7.0000000000000007E-2</v>
      </c>
      <c r="C12" s="10">
        <v>6</v>
      </c>
      <c r="D12" s="10">
        <v>12</v>
      </c>
      <c r="E12" s="10" t="s">
        <v>83</v>
      </c>
      <c r="F12" s="10" t="s">
        <v>156</v>
      </c>
      <c r="G12" s="10" t="s">
        <v>160</v>
      </c>
      <c r="H12" s="10" t="s">
        <v>165</v>
      </c>
      <c r="I12" s="10"/>
      <c r="J12" s="10" t="s">
        <v>128</v>
      </c>
      <c r="K12" s="10" t="s">
        <v>167</v>
      </c>
      <c r="L12" s="10" t="s">
        <v>175</v>
      </c>
      <c r="M12" s="10" t="s">
        <v>184</v>
      </c>
      <c r="N12" s="10" t="s">
        <v>225</v>
      </c>
      <c r="O12" s="12" t="s">
        <v>228</v>
      </c>
      <c r="P12" s="10" t="s">
        <v>237</v>
      </c>
      <c r="Q12" s="10" t="s">
        <v>277</v>
      </c>
      <c r="R12" s="10" t="s">
        <v>25</v>
      </c>
      <c r="S12" s="10"/>
      <c r="T12" s="10" t="s">
        <v>128</v>
      </c>
      <c r="U12" s="10"/>
      <c r="V12" s="10"/>
      <c r="W12" s="10"/>
      <c r="X12" s="10"/>
      <c r="Y12" s="10"/>
      <c r="Z12" s="10"/>
    </row>
    <row r="13" spans="1:26" x14ac:dyDescent="0.25">
      <c r="A13" s="10" t="s">
        <v>26</v>
      </c>
      <c r="B13" s="11">
        <v>7.0000000000000007E-2</v>
      </c>
      <c r="C13" s="10">
        <v>11</v>
      </c>
      <c r="D13" s="10">
        <v>12</v>
      </c>
      <c r="E13" s="10" t="s">
        <v>84</v>
      </c>
      <c r="F13" s="10" t="s">
        <v>156</v>
      </c>
      <c r="G13" s="10" t="s">
        <v>160</v>
      </c>
      <c r="H13" s="10" t="s">
        <v>165</v>
      </c>
      <c r="I13" s="10"/>
      <c r="J13" s="10" t="s">
        <v>128</v>
      </c>
      <c r="K13" s="10" t="s">
        <v>168</v>
      </c>
      <c r="L13" s="10" t="s">
        <v>175</v>
      </c>
      <c r="M13" s="10" t="s">
        <v>185</v>
      </c>
      <c r="N13" s="10" t="s">
        <v>225</v>
      </c>
      <c r="O13" s="12" t="s">
        <v>229</v>
      </c>
      <c r="P13" s="10" t="s">
        <v>238</v>
      </c>
      <c r="Q13" s="10" t="s">
        <v>278</v>
      </c>
      <c r="R13" s="10" t="s">
        <v>26</v>
      </c>
      <c r="S13" s="10"/>
      <c r="T13" s="10" t="s">
        <v>128</v>
      </c>
      <c r="U13" s="10"/>
      <c r="V13" s="10"/>
      <c r="W13" s="10"/>
      <c r="X13" s="10"/>
      <c r="Y13" s="10"/>
      <c r="Z13" s="10"/>
    </row>
    <row r="14" spans="1:26" x14ac:dyDescent="0.25">
      <c r="A14" s="10" t="s">
        <v>27</v>
      </c>
      <c r="B14" s="11">
        <v>7.0000000000000007E-2</v>
      </c>
      <c r="C14" s="10">
        <v>11</v>
      </c>
      <c r="D14" s="10">
        <v>11</v>
      </c>
      <c r="E14" s="10" t="s">
        <v>84</v>
      </c>
      <c r="F14" s="10" t="s">
        <v>157</v>
      </c>
      <c r="G14" s="10" t="s">
        <v>91</v>
      </c>
      <c r="H14" s="10" t="s">
        <v>165</v>
      </c>
      <c r="I14" s="10"/>
      <c r="J14" s="10" t="s">
        <v>128</v>
      </c>
      <c r="K14" s="10" t="s">
        <v>168</v>
      </c>
      <c r="L14" s="10" t="s">
        <v>175</v>
      </c>
      <c r="M14" s="10" t="s">
        <v>186</v>
      </c>
      <c r="N14" s="10" t="s">
        <v>225</v>
      </c>
      <c r="O14" s="12" t="s">
        <v>230</v>
      </c>
      <c r="P14" s="10" t="s">
        <v>239</v>
      </c>
      <c r="Q14" s="10" t="s">
        <v>278</v>
      </c>
      <c r="R14" s="10" t="s">
        <v>27</v>
      </c>
      <c r="S14" s="10"/>
      <c r="T14" s="10" t="s">
        <v>128</v>
      </c>
      <c r="U14" s="10"/>
      <c r="V14" s="10"/>
      <c r="W14" s="10"/>
      <c r="X14" s="10"/>
      <c r="Y14" s="10"/>
      <c r="Z14" s="10"/>
    </row>
    <row r="15" spans="1:26" x14ac:dyDescent="0.25">
      <c r="A15" s="10" t="s">
        <v>28</v>
      </c>
      <c r="B15" s="11">
        <v>0.08</v>
      </c>
      <c r="C15" s="10">
        <v>11</v>
      </c>
      <c r="D15" s="10">
        <v>11</v>
      </c>
      <c r="E15" s="10" t="s">
        <v>84</v>
      </c>
      <c r="F15" s="10" t="s">
        <v>157</v>
      </c>
      <c r="G15" s="10" t="s">
        <v>91</v>
      </c>
      <c r="H15" s="10" t="s">
        <v>163</v>
      </c>
      <c r="I15" s="10"/>
      <c r="J15" s="10" t="s">
        <v>128</v>
      </c>
      <c r="K15" s="10" t="s">
        <v>168</v>
      </c>
      <c r="L15" s="10" t="s">
        <v>175</v>
      </c>
      <c r="M15" s="10" t="s">
        <v>187</v>
      </c>
      <c r="N15" s="10" t="s">
        <v>226</v>
      </c>
      <c r="O15" s="12" t="s">
        <v>228</v>
      </c>
      <c r="P15" s="10" t="s">
        <v>240</v>
      </c>
      <c r="Q15" s="10" t="s">
        <v>278</v>
      </c>
      <c r="R15" s="10" t="s">
        <v>28</v>
      </c>
      <c r="S15" s="10"/>
      <c r="T15" s="10" t="s">
        <v>128</v>
      </c>
      <c r="U15" s="10"/>
      <c r="V15" s="10"/>
      <c r="W15" s="10"/>
      <c r="X15" s="10"/>
      <c r="Y15" s="10"/>
      <c r="Z15" s="10"/>
    </row>
    <row r="16" spans="1:26" x14ac:dyDescent="0.25">
      <c r="A16" s="10" t="s">
        <v>29</v>
      </c>
      <c r="B16" s="11">
        <v>7.0000000000000007E-2</v>
      </c>
      <c r="C16" s="10">
        <v>12</v>
      </c>
      <c r="D16" s="10">
        <v>12</v>
      </c>
      <c r="E16" s="10" t="s">
        <v>83</v>
      </c>
      <c r="F16" s="10" t="s">
        <v>157</v>
      </c>
      <c r="G16" s="10" t="s">
        <v>91</v>
      </c>
      <c r="H16" s="10" t="s">
        <v>164</v>
      </c>
      <c r="I16" s="10"/>
      <c r="J16" s="10" t="s">
        <v>128</v>
      </c>
      <c r="K16" s="10" t="s">
        <v>168</v>
      </c>
      <c r="L16" s="10" t="s">
        <v>176</v>
      </c>
      <c r="M16" s="10" t="s">
        <v>188</v>
      </c>
      <c r="N16" s="10" t="s">
        <v>226</v>
      </c>
      <c r="O16" s="12" t="s">
        <v>229</v>
      </c>
      <c r="P16" s="10" t="s">
        <v>241</v>
      </c>
      <c r="Q16" s="10" t="s">
        <v>278</v>
      </c>
      <c r="R16" s="10" t="s">
        <v>29</v>
      </c>
      <c r="S16" s="10"/>
      <c r="T16" s="10" t="s">
        <v>128</v>
      </c>
      <c r="U16" s="10"/>
      <c r="V16" s="10"/>
      <c r="W16" s="10"/>
      <c r="X16" s="10"/>
      <c r="Y16" s="10"/>
      <c r="Z16" s="10"/>
    </row>
    <row r="17" spans="1:26" x14ac:dyDescent="0.25">
      <c r="A17" s="10" t="s">
        <v>30</v>
      </c>
      <c r="B17" s="11">
        <v>0.06</v>
      </c>
      <c r="C17" s="10">
        <v>1</v>
      </c>
      <c r="D17" s="10">
        <v>3</v>
      </c>
      <c r="E17" s="10" t="s">
        <v>83</v>
      </c>
      <c r="F17" s="10" t="s">
        <v>158</v>
      </c>
      <c r="G17" s="10" t="s">
        <v>91</v>
      </c>
      <c r="H17" s="10" t="s">
        <v>164</v>
      </c>
      <c r="I17" s="10"/>
      <c r="J17" s="10" t="s">
        <v>128</v>
      </c>
      <c r="K17" s="10" t="s">
        <v>169</v>
      </c>
      <c r="L17" s="10" t="s">
        <v>176</v>
      </c>
      <c r="M17" s="10" t="s">
        <v>189</v>
      </c>
      <c r="N17" s="10" t="s">
        <v>226</v>
      </c>
      <c r="O17" s="12" t="s">
        <v>230</v>
      </c>
      <c r="P17" s="10" t="s">
        <v>242</v>
      </c>
      <c r="Q17" s="10" t="s">
        <v>278</v>
      </c>
      <c r="R17" s="10" t="s">
        <v>30</v>
      </c>
      <c r="S17" s="10"/>
      <c r="T17" s="10" t="s">
        <v>128</v>
      </c>
      <c r="U17" s="10"/>
      <c r="V17" s="10"/>
      <c r="W17" s="10"/>
      <c r="X17" s="10"/>
      <c r="Y17" s="10"/>
      <c r="Z17" s="10"/>
    </row>
    <row r="18" spans="1:26" x14ac:dyDescent="0.25">
      <c r="A18" s="10" t="s">
        <v>31</v>
      </c>
      <c r="B18" s="11">
        <v>7.0000000000000007E-2</v>
      </c>
      <c r="C18" s="10">
        <v>12</v>
      </c>
      <c r="D18" s="10">
        <v>13</v>
      </c>
      <c r="E18" s="10" t="s">
        <v>84</v>
      </c>
      <c r="F18" s="10" t="s">
        <v>158</v>
      </c>
      <c r="G18" s="10" t="s">
        <v>91</v>
      </c>
      <c r="H18" s="10" t="s">
        <v>165</v>
      </c>
      <c r="I18" s="10"/>
      <c r="J18" s="10" t="s">
        <v>128</v>
      </c>
      <c r="K18" s="10" t="s">
        <v>169</v>
      </c>
      <c r="L18" s="10" t="s">
        <v>176</v>
      </c>
      <c r="M18" s="10" t="s">
        <v>190</v>
      </c>
      <c r="N18" s="10" t="s">
        <v>226</v>
      </c>
      <c r="O18" s="12" t="s">
        <v>228</v>
      </c>
      <c r="P18" s="10" t="s">
        <v>243</v>
      </c>
      <c r="Q18" s="10" t="s">
        <v>278</v>
      </c>
      <c r="R18" s="10" t="s">
        <v>31</v>
      </c>
      <c r="S18" s="10"/>
      <c r="T18" s="10" t="s">
        <v>128</v>
      </c>
      <c r="U18" s="10"/>
      <c r="V18" s="10"/>
      <c r="W18" s="10"/>
      <c r="X18" s="10"/>
      <c r="Y18" s="10"/>
      <c r="Z18" s="10"/>
    </row>
    <row r="19" spans="1:26" x14ac:dyDescent="0.25">
      <c r="A19" s="10" t="s">
        <v>32</v>
      </c>
      <c r="B19" s="11">
        <v>7.0000000000000007E-2</v>
      </c>
      <c r="C19" s="10">
        <v>1</v>
      </c>
      <c r="D19" s="10">
        <v>3</v>
      </c>
      <c r="E19" s="10" t="s">
        <v>84</v>
      </c>
      <c r="F19" s="10" t="s">
        <v>158</v>
      </c>
      <c r="G19" s="10" t="s">
        <v>161</v>
      </c>
      <c r="H19" s="10" t="s">
        <v>165</v>
      </c>
      <c r="I19" s="10"/>
      <c r="J19" s="10" t="s">
        <v>128</v>
      </c>
      <c r="K19" s="10" t="s">
        <v>169</v>
      </c>
      <c r="L19" s="10" t="s">
        <v>176</v>
      </c>
      <c r="M19" s="10" t="s">
        <v>191</v>
      </c>
      <c r="N19" s="10" t="s">
        <v>226</v>
      </c>
      <c r="O19" s="12" t="s">
        <v>229</v>
      </c>
      <c r="P19" s="10" t="s">
        <v>244</v>
      </c>
      <c r="Q19" s="10" t="s">
        <v>278</v>
      </c>
      <c r="R19" s="10" t="s">
        <v>32</v>
      </c>
      <c r="S19" s="10"/>
      <c r="T19" s="10" t="s">
        <v>128</v>
      </c>
      <c r="U19" s="10"/>
      <c r="V19" s="10"/>
      <c r="W19" s="10"/>
      <c r="X19" s="10"/>
      <c r="Y19" s="10"/>
      <c r="Z19" s="10"/>
    </row>
    <row r="20" spans="1:26" x14ac:dyDescent="0.25">
      <c r="A20" s="10" t="s">
        <v>33</v>
      </c>
      <c r="B20" s="11">
        <v>7.0000000000000007E-2</v>
      </c>
      <c r="C20" s="10">
        <v>13</v>
      </c>
      <c r="D20" s="10">
        <v>17</v>
      </c>
      <c r="E20" s="10" t="s">
        <v>84</v>
      </c>
      <c r="F20" s="10" t="s">
        <v>158</v>
      </c>
      <c r="G20" s="10" t="s">
        <v>161</v>
      </c>
      <c r="H20" s="10" t="s">
        <v>165</v>
      </c>
      <c r="I20" s="10"/>
      <c r="J20" s="10" t="s">
        <v>128</v>
      </c>
      <c r="K20" s="10" t="s">
        <v>170</v>
      </c>
      <c r="L20" s="10" t="s">
        <v>176</v>
      </c>
      <c r="M20" s="10" t="s">
        <v>192</v>
      </c>
      <c r="N20" s="10" t="s">
        <v>226</v>
      </c>
      <c r="O20" s="12" t="s">
        <v>230</v>
      </c>
      <c r="P20" s="10" t="s">
        <v>245</v>
      </c>
      <c r="Q20" s="10" t="s">
        <v>278</v>
      </c>
      <c r="R20" s="10" t="s">
        <v>33</v>
      </c>
      <c r="S20" s="10"/>
      <c r="T20" s="10" t="s">
        <v>128</v>
      </c>
      <c r="U20" s="10"/>
      <c r="V20" s="10"/>
      <c r="W20" s="10"/>
      <c r="X20" s="10"/>
      <c r="Y20" s="10"/>
      <c r="Z20" s="10"/>
    </row>
    <row r="21" spans="1:26" x14ac:dyDescent="0.25">
      <c r="A21" s="10" t="s">
        <v>34</v>
      </c>
      <c r="B21" s="11">
        <v>0.06</v>
      </c>
      <c r="C21" s="10">
        <v>1</v>
      </c>
      <c r="D21" s="10">
        <v>3</v>
      </c>
      <c r="E21" s="10" t="s">
        <v>83</v>
      </c>
      <c r="F21" s="10" t="s">
        <v>159</v>
      </c>
      <c r="G21" s="10" t="s">
        <v>161</v>
      </c>
      <c r="H21" s="10" t="s">
        <v>165</v>
      </c>
      <c r="I21" s="10"/>
      <c r="J21" s="10" t="s">
        <v>128</v>
      </c>
      <c r="K21" s="10" t="s">
        <v>171</v>
      </c>
      <c r="L21" s="10" t="s">
        <v>176</v>
      </c>
      <c r="M21" s="10" t="s">
        <v>193</v>
      </c>
      <c r="N21" s="10" t="s">
        <v>226</v>
      </c>
      <c r="O21" s="12" t="s">
        <v>228</v>
      </c>
      <c r="P21" s="10" t="s">
        <v>246</v>
      </c>
      <c r="Q21" s="10" t="s">
        <v>279</v>
      </c>
      <c r="R21" s="10" t="s">
        <v>34</v>
      </c>
      <c r="S21" s="10"/>
      <c r="T21" s="10" t="s">
        <v>128</v>
      </c>
      <c r="U21" s="10"/>
      <c r="V21" s="10"/>
      <c r="W21" s="10"/>
      <c r="X21" s="10"/>
      <c r="Y21" s="10"/>
      <c r="Z21" s="10"/>
    </row>
    <row r="22" spans="1:26" x14ac:dyDescent="0.25">
      <c r="A22" s="10" t="s">
        <v>35</v>
      </c>
      <c r="B22" s="11">
        <v>0.05</v>
      </c>
      <c r="C22" s="10">
        <v>1</v>
      </c>
      <c r="D22" s="10">
        <v>1</v>
      </c>
      <c r="E22" s="10" t="s">
        <v>83</v>
      </c>
      <c r="F22" s="10" t="s">
        <v>159</v>
      </c>
      <c r="G22" s="10" t="s">
        <v>161</v>
      </c>
      <c r="H22" s="10" t="s">
        <v>165</v>
      </c>
      <c r="I22" s="10"/>
      <c r="J22" s="10" t="s">
        <v>128</v>
      </c>
      <c r="K22" s="10" t="s">
        <v>172</v>
      </c>
      <c r="L22" s="10" t="s">
        <v>177</v>
      </c>
      <c r="M22" s="10" t="s">
        <v>194</v>
      </c>
      <c r="N22" s="10" t="s">
        <v>226</v>
      </c>
      <c r="O22" s="12" t="s">
        <v>229</v>
      </c>
      <c r="P22" s="10" t="s">
        <v>247</v>
      </c>
      <c r="Q22" s="10" t="s">
        <v>279</v>
      </c>
      <c r="R22" s="10" t="s">
        <v>35</v>
      </c>
      <c r="S22" s="10"/>
      <c r="T22" s="10" t="s">
        <v>128</v>
      </c>
      <c r="U22" s="10"/>
      <c r="V22" s="10"/>
      <c r="W22" s="10"/>
      <c r="X22" s="10"/>
      <c r="Y22" s="10"/>
      <c r="Z22" s="10"/>
    </row>
    <row r="23" spans="1:26" x14ac:dyDescent="0.25">
      <c r="A23" s="10" t="s">
        <v>36</v>
      </c>
      <c r="B23" s="11">
        <v>0.06</v>
      </c>
      <c r="C23" s="10">
        <v>12</v>
      </c>
      <c r="D23" s="10">
        <v>17</v>
      </c>
      <c r="E23" s="10" t="s">
        <v>84</v>
      </c>
      <c r="F23" s="10" t="s">
        <v>159</v>
      </c>
      <c r="G23" s="10" t="s">
        <v>161</v>
      </c>
      <c r="H23" s="10" t="s">
        <v>165</v>
      </c>
      <c r="I23" s="10"/>
      <c r="J23" s="10" t="s">
        <v>128</v>
      </c>
      <c r="K23" s="10" t="s">
        <v>172</v>
      </c>
      <c r="L23" s="10" t="s">
        <v>177</v>
      </c>
      <c r="M23" s="10" t="s">
        <v>195</v>
      </c>
      <c r="N23" s="10" t="s">
        <v>226</v>
      </c>
      <c r="O23" s="12" t="s">
        <v>230</v>
      </c>
      <c r="P23" s="10" t="s">
        <v>248</v>
      </c>
      <c r="Q23" s="10" t="s">
        <v>279</v>
      </c>
      <c r="R23" s="10" t="s">
        <v>36</v>
      </c>
      <c r="S23" s="10"/>
      <c r="T23" s="10" t="s">
        <v>128</v>
      </c>
      <c r="U23" s="10"/>
      <c r="V23" s="10"/>
      <c r="W23" s="10"/>
      <c r="X23" s="10"/>
      <c r="Y23" s="10"/>
      <c r="Z23" s="10"/>
    </row>
    <row r="24" spans="1:26" x14ac:dyDescent="0.25">
      <c r="A24" s="10" t="s">
        <v>37</v>
      </c>
      <c r="B24" s="11">
        <v>0.32</v>
      </c>
      <c r="C24" s="10">
        <v>21</v>
      </c>
      <c r="D24" s="10">
        <v>19</v>
      </c>
      <c r="E24" s="10" t="s">
        <v>84</v>
      </c>
      <c r="F24" s="10" t="s">
        <v>159</v>
      </c>
      <c r="G24" s="10" t="s">
        <v>162</v>
      </c>
      <c r="H24" s="10" t="s">
        <v>163</v>
      </c>
      <c r="I24" s="10"/>
      <c r="J24" s="10" t="s">
        <v>128</v>
      </c>
      <c r="K24" s="10" t="s">
        <v>172</v>
      </c>
      <c r="L24" s="10" t="s">
        <v>177</v>
      </c>
      <c r="M24" s="10" t="s">
        <v>196</v>
      </c>
      <c r="N24" s="10" t="s">
        <v>226</v>
      </c>
      <c r="O24" s="12" t="s">
        <v>228</v>
      </c>
      <c r="P24" s="10" t="s">
        <v>249</v>
      </c>
      <c r="Q24" s="10" t="s">
        <v>279</v>
      </c>
      <c r="R24" s="10" t="s">
        <v>37</v>
      </c>
      <c r="S24" s="10"/>
      <c r="T24" s="10" t="s">
        <v>128</v>
      </c>
      <c r="U24" s="10"/>
      <c r="V24" s="10"/>
      <c r="W24" s="10"/>
      <c r="X24" s="10"/>
      <c r="Y24" s="10"/>
      <c r="Z24" s="10"/>
    </row>
    <row r="25" spans="1:26" x14ac:dyDescent="0.25">
      <c r="A25" s="10" t="s">
        <v>38</v>
      </c>
      <c r="B25" s="11">
        <v>7.0000000000000007E-2</v>
      </c>
      <c r="C25" s="10">
        <v>12</v>
      </c>
      <c r="D25" s="10">
        <v>17</v>
      </c>
      <c r="E25" s="10" t="s">
        <v>84</v>
      </c>
      <c r="F25" s="10" t="s">
        <v>159</v>
      </c>
      <c r="G25" s="10" t="s">
        <v>162</v>
      </c>
      <c r="H25" s="10" t="s">
        <v>164</v>
      </c>
      <c r="I25" s="10"/>
      <c r="J25" s="10" t="s">
        <v>128</v>
      </c>
      <c r="K25" s="10" t="s">
        <v>173</v>
      </c>
      <c r="L25" s="10" t="s">
        <v>177</v>
      </c>
      <c r="M25" s="10" t="s">
        <v>197</v>
      </c>
      <c r="N25" s="10" t="s">
        <v>226</v>
      </c>
      <c r="O25" s="12" t="s">
        <v>229</v>
      </c>
      <c r="P25" s="10" t="s">
        <v>250</v>
      </c>
      <c r="Q25" s="10" t="s">
        <v>279</v>
      </c>
      <c r="R25" s="10" t="s">
        <v>38</v>
      </c>
      <c r="S25" s="10"/>
      <c r="T25" s="10" t="s">
        <v>128</v>
      </c>
      <c r="U25" s="10"/>
      <c r="V25" s="10"/>
      <c r="W25" s="10"/>
      <c r="X25" s="10"/>
      <c r="Y25" s="10"/>
      <c r="Z25" s="10"/>
    </row>
    <row r="26" spans="1:26" x14ac:dyDescent="0.25">
      <c r="A26" s="10" t="s">
        <v>39</v>
      </c>
      <c r="B26" s="11">
        <v>0.05</v>
      </c>
      <c r="C26" s="10">
        <v>14</v>
      </c>
      <c r="D26" s="10">
        <v>16</v>
      </c>
      <c r="E26" s="10" t="s">
        <v>85</v>
      </c>
      <c r="F26" s="10" t="s">
        <v>159</v>
      </c>
      <c r="G26" s="10" t="s">
        <v>162</v>
      </c>
      <c r="H26" s="10" t="s">
        <v>164</v>
      </c>
      <c r="I26" s="10"/>
      <c r="J26" s="10" t="s">
        <v>128</v>
      </c>
      <c r="K26" s="10" t="s">
        <v>173</v>
      </c>
      <c r="L26" s="10" t="s">
        <v>177</v>
      </c>
      <c r="M26" s="10" t="s">
        <v>198</v>
      </c>
      <c r="N26" s="10" t="s">
        <v>226</v>
      </c>
      <c r="O26" s="12" t="s">
        <v>230</v>
      </c>
      <c r="P26" s="10" t="s">
        <v>251</v>
      </c>
      <c r="Q26" s="10" t="s">
        <v>279</v>
      </c>
      <c r="R26" s="10" t="s">
        <v>39</v>
      </c>
      <c r="S26" s="10"/>
      <c r="T26" s="10" t="s">
        <v>128</v>
      </c>
      <c r="U26" s="10"/>
      <c r="V26" s="10"/>
      <c r="W26" s="10"/>
      <c r="X26" s="10"/>
      <c r="Y26" s="10"/>
      <c r="Z26" s="10"/>
    </row>
    <row r="27" spans="1:26" x14ac:dyDescent="0.25">
      <c r="A27" s="10" t="s">
        <v>40</v>
      </c>
      <c r="B27" s="10" t="s">
        <v>19</v>
      </c>
      <c r="C27" s="10">
        <v>29</v>
      </c>
      <c r="D27" s="10">
        <v>18</v>
      </c>
      <c r="E27" s="10" t="s">
        <v>86</v>
      </c>
      <c r="F27" s="10" t="s">
        <v>159</v>
      </c>
      <c r="G27" s="10" t="s">
        <v>162</v>
      </c>
      <c r="H27" s="10" t="s">
        <v>165</v>
      </c>
      <c r="I27" s="10"/>
      <c r="J27" s="10" t="s">
        <v>128</v>
      </c>
      <c r="K27" s="10" t="s">
        <v>173</v>
      </c>
      <c r="L27" s="10" t="s">
        <v>177</v>
      </c>
      <c r="M27" s="10" t="s">
        <v>199</v>
      </c>
      <c r="N27" s="10" t="s">
        <v>226</v>
      </c>
      <c r="O27" s="12" t="s">
        <v>228</v>
      </c>
      <c r="P27" s="10" t="s">
        <v>252</v>
      </c>
      <c r="Q27" s="10" t="s">
        <v>279</v>
      </c>
      <c r="R27" s="10" t="s">
        <v>40</v>
      </c>
      <c r="S27" s="10"/>
      <c r="T27" s="10" t="s">
        <v>128</v>
      </c>
      <c r="U27" s="10"/>
      <c r="V27" s="10"/>
      <c r="W27" s="10"/>
      <c r="X27" s="10"/>
      <c r="Y27" s="10"/>
      <c r="Z27" s="10"/>
    </row>
    <row r="28" spans="1:26" x14ac:dyDescent="0.25">
      <c r="A28" s="10" t="s">
        <v>41</v>
      </c>
      <c r="B28" s="11">
        <v>0.08</v>
      </c>
      <c r="C28" s="10">
        <v>16</v>
      </c>
      <c r="D28" s="10">
        <v>17</v>
      </c>
      <c r="E28" s="10" t="s">
        <v>83</v>
      </c>
      <c r="F28" s="10" t="s">
        <v>159</v>
      </c>
      <c r="G28" s="10" t="s">
        <v>162</v>
      </c>
      <c r="H28" s="10" t="s">
        <v>165</v>
      </c>
      <c r="I28" s="10"/>
      <c r="J28" s="10" t="s">
        <v>128</v>
      </c>
      <c r="K28" s="10" t="s">
        <v>173</v>
      </c>
      <c r="L28" s="10" t="s">
        <v>177</v>
      </c>
      <c r="M28" s="10" t="s">
        <v>200</v>
      </c>
      <c r="N28" s="10" t="s">
        <v>226</v>
      </c>
      <c r="O28" s="12" t="s">
        <v>229</v>
      </c>
      <c r="P28" s="10" t="s">
        <v>253</v>
      </c>
      <c r="Q28" s="10" t="s">
        <v>279</v>
      </c>
      <c r="R28" s="10" t="s">
        <v>41</v>
      </c>
      <c r="S28" s="10"/>
      <c r="T28" s="10" t="s">
        <v>128</v>
      </c>
      <c r="U28" s="10"/>
      <c r="V28" s="10"/>
      <c r="W28" s="10"/>
      <c r="X28" s="10"/>
      <c r="Y28" s="10"/>
      <c r="Z28" s="10"/>
    </row>
    <row r="29" spans="1:26" x14ac:dyDescent="0.25">
      <c r="A29" s="10" t="s">
        <v>42</v>
      </c>
      <c r="B29" s="11">
        <v>0.01</v>
      </c>
      <c r="C29" s="10">
        <v>12</v>
      </c>
      <c r="D29" s="10">
        <v>17</v>
      </c>
      <c r="E29" s="10" t="s">
        <v>83</v>
      </c>
      <c r="F29" s="10" t="s">
        <v>159</v>
      </c>
      <c r="G29" s="10" t="s">
        <v>160</v>
      </c>
      <c r="H29" s="10" t="s">
        <v>165</v>
      </c>
      <c r="I29" s="10"/>
      <c r="J29" s="10" t="s">
        <v>128</v>
      </c>
      <c r="K29" s="10" t="s">
        <v>173</v>
      </c>
      <c r="L29" s="10" t="s">
        <v>177</v>
      </c>
      <c r="M29" s="10" t="s">
        <v>201</v>
      </c>
      <c r="N29" s="10" t="s">
        <v>226</v>
      </c>
      <c r="O29" s="12" t="s">
        <v>230</v>
      </c>
      <c r="P29" s="10" t="s">
        <v>254</v>
      </c>
      <c r="Q29" s="10" t="s">
        <v>279</v>
      </c>
      <c r="R29" s="10" t="s">
        <v>92</v>
      </c>
      <c r="S29" s="10"/>
      <c r="T29" s="10" t="s">
        <v>128</v>
      </c>
      <c r="U29" s="10"/>
      <c r="V29" s="10"/>
      <c r="W29" s="10"/>
      <c r="X29" s="10"/>
      <c r="Y29" s="10"/>
      <c r="Z29" s="10"/>
    </row>
    <row r="30" spans="1:26" x14ac:dyDescent="0.25">
      <c r="A30" s="10" t="s">
        <v>43</v>
      </c>
      <c r="B30" s="11">
        <v>0.28000000000000003</v>
      </c>
      <c r="C30" s="10">
        <v>36</v>
      </c>
      <c r="D30" s="10">
        <v>26</v>
      </c>
      <c r="E30" s="10" t="s">
        <v>84</v>
      </c>
      <c r="F30" s="10" t="s">
        <v>159</v>
      </c>
      <c r="G30" s="10" t="s">
        <v>160</v>
      </c>
      <c r="H30" s="10" t="s">
        <v>165</v>
      </c>
      <c r="I30" s="10"/>
      <c r="J30" s="10" t="s">
        <v>128</v>
      </c>
      <c r="K30" s="10" t="s">
        <v>173</v>
      </c>
      <c r="L30" s="10" t="s">
        <v>177</v>
      </c>
      <c r="M30" s="10" t="s">
        <v>202</v>
      </c>
      <c r="N30" s="10" t="s">
        <v>226</v>
      </c>
      <c r="O30" s="12" t="s">
        <v>228</v>
      </c>
      <c r="P30" s="10" t="s">
        <v>255</v>
      </c>
      <c r="Q30" s="10" t="s">
        <v>279</v>
      </c>
      <c r="R30" s="10" t="s">
        <v>43</v>
      </c>
      <c r="S30" s="10"/>
      <c r="T30" s="10" t="s">
        <v>128</v>
      </c>
      <c r="U30" s="10"/>
      <c r="V30" s="10"/>
      <c r="W30" s="10"/>
      <c r="X30" s="10"/>
      <c r="Y30" s="10"/>
      <c r="Z30" s="10"/>
    </row>
    <row r="31" spans="1:26" x14ac:dyDescent="0.25">
      <c r="A31" s="10" t="s">
        <v>44</v>
      </c>
      <c r="B31" s="11">
        <v>0.02</v>
      </c>
      <c r="C31" s="10">
        <v>19</v>
      </c>
      <c r="D31" s="10">
        <v>24</v>
      </c>
      <c r="E31" s="10" t="s">
        <v>84</v>
      </c>
      <c r="F31" s="10" t="s">
        <v>159</v>
      </c>
      <c r="G31" s="10" t="s">
        <v>160</v>
      </c>
      <c r="H31" s="10" t="s">
        <v>165</v>
      </c>
      <c r="I31" s="10"/>
      <c r="J31" s="10" t="s">
        <v>128</v>
      </c>
      <c r="K31" s="10" t="s">
        <v>166</v>
      </c>
      <c r="L31" s="10" t="s">
        <v>177</v>
      </c>
      <c r="M31" s="10" t="s">
        <v>203</v>
      </c>
      <c r="N31" s="10" t="s">
        <v>227</v>
      </c>
      <c r="O31" s="12" t="s">
        <v>229</v>
      </c>
      <c r="P31" s="10" t="s">
        <v>256</v>
      </c>
      <c r="Q31" s="10" t="s">
        <v>279</v>
      </c>
      <c r="R31" s="10" t="s">
        <v>44</v>
      </c>
      <c r="S31" s="10"/>
      <c r="T31" s="10" t="s">
        <v>128</v>
      </c>
      <c r="U31" s="10"/>
      <c r="V31" s="10"/>
      <c r="W31" s="10"/>
      <c r="X31" s="10"/>
      <c r="Y31" s="10"/>
      <c r="Z31" s="10"/>
    </row>
    <row r="32" spans="1:26" x14ac:dyDescent="0.25">
      <c r="A32" s="10" t="s">
        <v>45</v>
      </c>
      <c r="B32" s="11">
        <v>0.05</v>
      </c>
      <c r="C32" s="10">
        <v>14</v>
      </c>
      <c r="D32" s="10">
        <v>13</v>
      </c>
      <c r="E32" s="10" t="s">
        <v>84</v>
      </c>
      <c r="F32" s="10" t="s">
        <v>159</v>
      </c>
      <c r="G32" s="10" t="s">
        <v>160</v>
      </c>
      <c r="H32" s="10" t="s">
        <v>165</v>
      </c>
      <c r="I32" s="10"/>
      <c r="J32" s="10" t="s">
        <v>128</v>
      </c>
      <c r="K32" s="10" t="s">
        <v>166</v>
      </c>
      <c r="L32" s="10" t="s">
        <v>177</v>
      </c>
      <c r="M32" s="10" t="s">
        <v>204</v>
      </c>
      <c r="N32" s="10" t="s">
        <v>227</v>
      </c>
      <c r="O32" s="12" t="s">
        <v>230</v>
      </c>
      <c r="P32" s="10" t="s">
        <v>257</v>
      </c>
      <c r="Q32" s="10" t="s">
        <v>279</v>
      </c>
      <c r="R32" s="10" t="s">
        <v>45</v>
      </c>
      <c r="S32" s="10"/>
      <c r="T32" s="10" t="s">
        <v>128</v>
      </c>
      <c r="U32" s="10"/>
      <c r="V32" s="10"/>
      <c r="W32" s="10"/>
      <c r="X32" s="10"/>
      <c r="Y32" s="10"/>
      <c r="Z32" s="10"/>
    </row>
    <row r="33" spans="1:26" x14ac:dyDescent="0.25">
      <c r="A33" s="10" t="s">
        <v>46</v>
      </c>
      <c r="B33" s="11">
        <v>0.48</v>
      </c>
      <c r="C33" s="10">
        <v>10</v>
      </c>
      <c r="D33" s="10">
        <v>11</v>
      </c>
      <c r="E33" s="10" t="s">
        <v>85</v>
      </c>
      <c r="F33" s="10" t="s">
        <v>159</v>
      </c>
      <c r="G33" s="10" t="s">
        <v>160</v>
      </c>
      <c r="H33" s="10" t="s">
        <v>163</v>
      </c>
      <c r="I33" s="10"/>
      <c r="J33" s="10" t="s">
        <v>128</v>
      </c>
      <c r="K33" s="10" t="s">
        <v>166</v>
      </c>
      <c r="L33" s="10" t="s">
        <v>174</v>
      </c>
      <c r="M33" s="10" t="s">
        <v>205</v>
      </c>
      <c r="N33" s="10" t="s">
        <v>227</v>
      </c>
      <c r="O33" s="12" t="s">
        <v>228</v>
      </c>
      <c r="P33" s="10" t="s">
        <v>258</v>
      </c>
      <c r="Q33" s="10" t="s">
        <v>279</v>
      </c>
      <c r="R33" s="10" t="s">
        <v>46</v>
      </c>
      <c r="S33" s="10"/>
      <c r="T33" s="10" t="s">
        <v>128</v>
      </c>
      <c r="U33" s="10"/>
      <c r="V33" s="10"/>
      <c r="W33" s="10"/>
      <c r="X33" s="10"/>
      <c r="Y33" s="10"/>
      <c r="Z33" s="10"/>
    </row>
    <row r="34" spans="1:26" x14ac:dyDescent="0.25">
      <c r="A34" s="10" t="s">
        <v>47</v>
      </c>
      <c r="B34" s="11">
        <v>0.55000000000000004</v>
      </c>
      <c r="C34" s="10">
        <v>11</v>
      </c>
      <c r="D34" s="10">
        <v>14</v>
      </c>
      <c r="E34" s="10" t="s">
        <v>86</v>
      </c>
      <c r="F34" s="10" t="s">
        <v>159</v>
      </c>
      <c r="G34" s="10" t="s">
        <v>160</v>
      </c>
      <c r="H34" s="10" t="s">
        <v>164</v>
      </c>
      <c r="I34" s="10"/>
      <c r="J34" s="10" t="s">
        <v>128</v>
      </c>
      <c r="K34" s="10" t="s">
        <v>166</v>
      </c>
      <c r="L34" s="10" t="s">
        <v>174</v>
      </c>
      <c r="M34" s="10" t="s">
        <v>206</v>
      </c>
      <c r="N34" s="10" t="s">
        <v>227</v>
      </c>
      <c r="O34" s="12" t="s">
        <v>229</v>
      </c>
      <c r="P34" s="10" t="s">
        <v>259</v>
      </c>
      <c r="Q34" s="10" t="s">
        <v>279</v>
      </c>
      <c r="R34" s="10" t="s">
        <v>47</v>
      </c>
      <c r="S34" s="10"/>
      <c r="T34" s="10" t="s">
        <v>128</v>
      </c>
      <c r="U34" s="10"/>
      <c r="V34" s="10"/>
      <c r="W34" s="10"/>
      <c r="X34" s="10"/>
      <c r="Y34" s="10"/>
      <c r="Z34" s="10"/>
    </row>
    <row r="35" spans="1:26" x14ac:dyDescent="0.25">
      <c r="A35" s="10" t="s">
        <v>48</v>
      </c>
      <c r="B35" s="11">
        <v>7.0000000000000007E-2</v>
      </c>
      <c r="C35" s="10">
        <v>9</v>
      </c>
      <c r="D35" s="10">
        <v>12</v>
      </c>
      <c r="E35" s="10" t="s">
        <v>83</v>
      </c>
      <c r="F35" s="10" t="s">
        <v>159</v>
      </c>
      <c r="G35" s="10" t="s">
        <v>160</v>
      </c>
      <c r="H35" s="10" t="s">
        <v>164</v>
      </c>
      <c r="I35" s="10"/>
      <c r="J35" s="10" t="s">
        <v>128</v>
      </c>
      <c r="K35" s="10" t="s">
        <v>167</v>
      </c>
      <c r="L35" s="10" t="s">
        <v>174</v>
      </c>
      <c r="M35" s="10" t="s">
        <v>207</v>
      </c>
      <c r="N35" s="13">
        <v>20</v>
      </c>
      <c r="O35" s="12" t="s">
        <v>230</v>
      </c>
      <c r="P35" s="10" t="s">
        <v>260</v>
      </c>
      <c r="Q35" s="10" t="s">
        <v>279</v>
      </c>
      <c r="R35" s="10" t="s">
        <v>48</v>
      </c>
      <c r="S35" s="10"/>
      <c r="T35" s="10" t="s">
        <v>128</v>
      </c>
      <c r="U35" s="10"/>
      <c r="V35" s="10"/>
      <c r="W35" s="10"/>
      <c r="X35" s="10"/>
      <c r="Y35" s="10"/>
      <c r="Z35" s="10"/>
    </row>
    <row r="36" spans="1:26" x14ac:dyDescent="0.25">
      <c r="A36" s="10" t="s">
        <v>49</v>
      </c>
      <c r="B36" s="11">
        <v>7.0000000000000007E-2</v>
      </c>
      <c r="C36" s="10">
        <v>1</v>
      </c>
      <c r="D36" s="10">
        <v>1</v>
      </c>
      <c r="E36" s="10" t="s">
        <v>83</v>
      </c>
      <c r="F36" s="10" t="s">
        <v>159</v>
      </c>
      <c r="G36" s="10" t="s">
        <v>160</v>
      </c>
      <c r="H36" s="10" t="s">
        <v>165</v>
      </c>
      <c r="I36" s="10"/>
      <c r="J36" s="10" t="s">
        <v>128</v>
      </c>
      <c r="K36" s="10" t="s">
        <v>167</v>
      </c>
      <c r="L36" s="10" t="s">
        <v>174</v>
      </c>
      <c r="M36" s="10" t="s">
        <v>208</v>
      </c>
      <c r="N36" s="13">
        <v>20</v>
      </c>
      <c r="O36" s="12" t="s">
        <v>228</v>
      </c>
      <c r="P36" s="10" t="s">
        <v>261</v>
      </c>
      <c r="Q36" s="10" t="s">
        <v>279</v>
      </c>
      <c r="R36" s="10" t="s">
        <v>49</v>
      </c>
      <c r="S36" s="10"/>
      <c r="T36" s="10" t="s">
        <v>128</v>
      </c>
      <c r="U36" s="10"/>
      <c r="V36" s="10"/>
      <c r="W36" s="10"/>
      <c r="X36" s="10"/>
      <c r="Y36" s="10"/>
      <c r="Z36" s="10"/>
    </row>
    <row r="37" spans="1:26" x14ac:dyDescent="0.25">
      <c r="A37" s="10" t="s">
        <v>50</v>
      </c>
      <c r="B37" s="11">
        <v>7.0000000000000007E-2</v>
      </c>
      <c r="C37" s="10">
        <v>13</v>
      </c>
      <c r="D37" s="10">
        <v>13</v>
      </c>
      <c r="E37" s="10" t="s">
        <v>84</v>
      </c>
      <c r="F37" s="10" t="s">
        <v>159</v>
      </c>
      <c r="G37" s="10" t="s">
        <v>91</v>
      </c>
      <c r="H37" s="10" t="s">
        <v>165</v>
      </c>
      <c r="I37" s="10"/>
      <c r="J37" s="10" t="s">
        <v>128</v>
      </c>
      <c r="K37" s="10" t="s">
        <v>167</v>
      </c>
      <c r="L37" s="10" t="s">
        <v>174</v>
      </c>
      <c r="M37" s="10" t="s">
        <v>209</v>
      </c>
      <c r="N37" s="13">
        <v>20</v>
      </c>
      <c r="O37" s="12" t="s">
        <v>229</v>
      </c>
      <c r="P37" s="10" t="s">
        <v>262</v>
      </c>
      <c r="Q37" s="10" t="s">
        <v>279</v>
      </c>
      <c r="R37" s="10" t="s">
        <v>50</v>
      </c>
      <c r="S37" s="10"/>
      <c r="T37" s="10" t="s">
        <v>128</v>
      </c>
      <c r="U37" s="10"/>
      <c r="V37" s="10"/>
      <c r="W37" s="10"/>
      <c r="X37" s="10"/>
      <c r="Y37" s="10"/>
      <c r="Z37" s="10"/>
    </row>
    <row r="38" spans="1:26" x14ac:dyDescent="0.25">
      <c r="A38" s="10" t="s">
        <v>51</v>
      </c>
      <c r="B38" s="11">
        <v>0.38</v>
      </c>
      <c r="C38" s="10">
        <v>6</v>
      </c>
      <c r="D38" s="10">
        <v>8</v>
      </c>
      <c r="E38" s="10" t="s">
        <v>84</v>
      </c>
      <c r="F38" s="10" t="s">
        <v>159</v>
      </c>
      <c r="G38" s="10" t="s">
        <v>91</v>
      </c>
      <c r="H38" s="10" t="s">
        <v>165</v>
      </c>
      <c r="I38" s="10"/>
      <c r="J38" s="10" t="s">
        <v>128</v>
      </c>
      <c r="K38" s="10" t="s">
        <v>168</v>
      </c>
      <c r="L38" s="10" t="s">
        <v>175</v>
      </c>
      <c r="M38" s="10" t="s">
        <v>210</v>
      </c>
      <c r="N38" s="13">
        <v>20</v>
      </c>
      <c r="O38" s="12" t="s">
        <v>230</v>
      </c>
      <c r="P38" s="10" t="s">
        <v>263</v>
      </c>
      <c r="Q38" s="10" t="s">
        <v>279</v>
      </c>
      <c r="R38" s="10" t="s">
        <v>93</v>
      </c>
      <c r="S38" s="10"/>
      <c r="T38" s="10" t="s">
        <v>128</v>
      </c>
      <c r="U38" s="10"/>
      <c r="V38" s="10"/>
      <c r="W38" s="10"/>
      <c r="X38" s="10"/>
      <c r="Y38" s="10"/>
      <c r="Z38" s="10"/>
    </row>
    <row r="39" spans="1:26" x14ac:dyDescent="0.25">
      <c r="A39" s="10" t="s">
        <v>52</v>
      </c>
      <c r="B39" s="11">
        <v>0.03</v>
      </c>
      <c r="C39" s="10">
        <v>19</v>
      </c>
      <c r="D39" s="10">
        <v>23</v>
      </c>
      <c r="E39" s="10" t="s">
        <v>84</v>
      </c>
      <c r="F39" s="10" t="s">
        <v>159</v>
      </c>
      <c r="G39" s="10" t="s">
        <v>91</v>
      </c>
      <c r="H39" s="10" t="s">
        <v>165</v>
      </c>
      <c r="I39" s="10"/>
      <c r="J39" s="10" t="s">
        <v>128</v>
      </c>
      <c r="K39" s="10" t="s">
        <v>168</v>
      </c>
      <c r="L39" s="10" t="s">
        <v>175</v>
      </c>
      <c r="M39" s="10" t="s">
        <v>211</v>
      </c>
      <c r="N39" s="13">
        <v>20</v>
      </c>
      <c r="O39" s="12" t="s">
        <v>228</v>
      </c>
      <c r="P39" s="10" t="s">
        <v>264</v>
      </c>
      <c r="Q39" s="10" t="s">
        <v>279</v>
      </c>
      <c r="R39" s="10" t="s">
        <v>94</v>
      </c>
      <c r="S39" s="10"/>
      <c r="T39" s="10" t="s">
        <v>128</v>
      </c>
      <c r="U39" s="10"/>
      <c r="V39" s="10"/>
      <c r="W39" s="10"/>
      <c r="X39" s="10"/>
      <c r="Y39" s="10"/>
      <c r="Z39" s="10"/>
    </row>
    <row r="40" spans="1:26" x14ac:dyDescent="0.25">
      <c r="A40" s="10" t="s">
        <v>53</v>
      </c>
      <c r="B40" s="11">
        <v>0.06</v>
      </c>
      <c r="C40" s="10">
        <v>12</v>
      </c>
      <c r="D40" s="10">
        <v>18</v>
      </c>
      <c r="E40" s="10" t="s">
        <v>85</v>
      </c>
      <c r="F40" s="10" t="s">
        <v>159</v>
      </c>
      <c r="G40" s="10" t="s">
        <v>91</v>
      </c>
      <c r="H40" s="10" t="s">
        <v>165</v>
      </c>
      <c r="I40" s="10"/>
      <c r="J40" s="10" t="s">
        <v>128</v>
      </c>
      <c r="K40" s="10" t="s">
        <v>168</v>
      </c>
      <c r="L40" s="10" t="s">
        <v>175</v>
      </c>
      <c r="M40" s="10" t="s">
        <v>212</v>
      </c>
      <c r="N40" s="13">
        <v>20</v>
      </c>
      <c r="O40" s="12" t="s">
        <v>229</v>
      </c>
      <c r="P40" s="10" t="s">
        <v>265</v>
      </c>
      <c r="Q40" s="10" t="s">
        <v>279</v>
      </c>
      <c r="R40" s="10" t="s">
        <v>95</v>
      </c>
      <c r="S40" s="10"/>
      <c r="T40" s="10" t="s">
        <v>128</v>
      </c>
      <c r="U40" s="10"/>
      <c r="V40" s="10"/>
      <c r="W40" s="10"/>
      <c r="X40" s="10"/>
      <c r="Y40" s="10"/>
      <c r="Z40" s="10"/>
    </row>
    <row r="41" spans="1:26" x14ac:dyDescent="0.25">
      <c r="A41" s="10" t="s">
        <v>54</v>
      </c>
      <c r="B41" s="11">
        <v>0.15</v>
      </c>
      <c r="C41" s="10">
        <v>5</v>
      </c>
      <c r="D41" s="10">
        <v>6</v>
      </c>
      <c r="E41" s="10" t="s">
        <v>86</v>
      </c>
      <c r="F41" s="10" t="s">
        <v>159</v>
      </c>
      <c r="G41" s="10" t="s">
        <v>91</v>
      </c>
      <c r="H41" s="10" t="s">
        <v>165</v>
      </c>
      <c r="I41" s="10"/>
      <c r="J41" s="10" t="s">
        <v>128</v>
      </c>
      <c r="K41" s="10" t="s">
        <v>168</v>
      </c>
      <c r="L41" s="10" t="s">
        <v>175</v>
      </c>
      <c r="M41" s="10" t="s">
        <v>213</v>
      </c>
      <c r="N41" s="13">
        <v>20</v>
      </c>
      <c r="O41" s="12" t="s">
        <v>230</v>
      </c>
      <c r="P41" s="10" t="s">
        <v>266</v>
      </c>
      <c r="Q41" s="10" t="s">
        <v>279</v>
      </c>
      <c r="R41" s="10" t="s">
        <v>96</v>
      </c>
      <c r="S41" s="10"/>
      <c r="T41" s="10" t="s">
        <v>128</v>
      </c>
      <c r="U41" s="10"/>
      <c r="V41" s="10"/>
      <c r="W41" s="10"/>
      <c r="X41" s="10"/>
      <c r="Y41" s="10"/>
      <c r="Z41" s="10"/>
    </row>
    <row r="42" spans="1:26" x14ac:dyDescent="0.25">
      <c r="A42" s="10" t="s">
        <v>55</v>
      </c>
      <c r="B42" s="10" t="s">
        <v>19</v>
      </c>
      <c r="C42" s="10">
        <v>90</v>
      </c>
      <c r="D42" s="10">
        <v>44</v>
      </c>
      <c r="E42" s="10" t="s">
        <v>83</v>
      </c>
      <c r="F42" s="10" t="s">
        <v>159</v>
      </c>
      <c r="G42" s="10" t="s">
        <v>161</v>
      </c>
      <c r="H42" s="10" t="s">
        <v>163</v>
      </c>
      <c r="I42" s="10"/>
      <c r="J42" s="10" t="s">
        <v>128</v>
      </c>
      <c r="K42" s="10" t="s">
        <v>169</v>
      </c>
      <c r="L42" s="10" t="s">
        <v>175</v>
      </c>
      <c r="M42" s="10" t="s">
        <v>214</v>
      </c>
      <c r="N42" s="13">
        <v>20</v>
      </c>
      <c r="O42" s="12" t="s">
        <v>228</v>
      </c>
      <c r="P42" s="10" t="s">
        <v>267</v>
      </c>
      <c r="Q42" s="10" t="s">
        <v>279</v>
      </c>
      <c r="R42" s="10"/>
      <c r="S42" s="10"/>
      <c r="T42" s="10" t="s">
        <v>128</v>
      </c>
      <c r="U42" s="10"/>
      <c r="V42" s="10"/>
      <c r="W42" s="10"/>
      <c r="X42" s="10"/>
      <c r="Y42" s="10"/>
      <c r="Z42" s="10"/>
    </row>
    <row r="43" spans="1:26" x14ac:dyDescent="0.25">
      <c r="A43" s="10" t="s">
        <v>56</v>
      </c>
      <c r="B43" s="11">
        <v>0.36</v>
      </c>
      <c r="C43" s="10">
        <v>41</v>
      </c>
      <c r="D43" s="10">
        <v>33</v>
      </c>
      <c r="E43" s="10" t="s">
        <v>84</v>
      </c>
      <c r="F43" s="10" t="s">
        <v>159</v>
      </c>
      <c r="G43" s="10" t="s">
        <v>161</v>
      </c>
      <c r="H43" s="10" t="s">
        <v>164</v>
      </c>
      <c r="I43" s="10"/>
      <c r="J43" s="10" t="s">
        <v>128</v>
      </c>
      <c r="K43" s="10" t="s">
        <v>169</v>
      </c>
      <c r="L43" s="10" t="s">
        <v>176</v>
      </c>
      <c r="M43" s="10" t="s">
        <v>215</v>
      </c>
      <c r="N43" s="13">
        <v>20</v>
      </c>
      <c r="O43" s="12" t="s">
        <v>229</v>
      </c>
      <c r="P43" s="10" t="s">
        <v>268</v>
      </c>
      <c r="Q43" s="10" t="s">
        <v>279</v>
      </c>
      <c r="R43" s="10"/>
      <c r="S43" s="10"/>
      <c r="T43" s="10" t="s">
        <v>128</v>
      </c>
      <c r="U43" s="10"/>
      <c r="V43" s="10"/>
      <c r="W43" s="10"/>
      <c r="X43" s="10"/>
      <c r="Y43" s="10"/>
      <c r="Z43" s="10"/>
    </row>
    <row r="44" spans="1:26" x14ac:dyDescent="0.25">
      <c r="A44" s="10" t="s">
        <v>57</v>
      </c>
      <c r="B44" s="11">
        <v>0.03</v>
      </c>
      <c r="C44" s="10">
        <v>7</v>
      </c>
      <c r="D44" s="10">
        <v>7</v>
      </c>
      <c r="E44" s="10" t="s">
        <v>84</v>
      </c>
      <c r="F44" s="10" t="s">
        <v>159</v>
      </c>
      <c r="G44" s="10" t="s">
        <v>161</v>
      </c>
      <c r="H44" s="10" t="s">
        <v>164</v>
      </c>
      <c r="I44" s="10"/>
      <c r="J44" s="10" t="s">
        <v>128</v>
      </c>
      <c r="K44" s="10" t="s">
        <v>169</v>
      </c>
      <c r="L44" s="10" t="s">
        <v>176</v>
      </c>
      <c r="M44" s="10" t="s">
        <v>216</v>
      </c>
      <c r="N44" s="13">
        <v>20</v>
      </c>
      <c r="O44" s="12" t="s">
        <v>230</v>
      </c>
      <c r="P44" s="10" t="s">
        <v>269</v>
      </c>
      <c r="Q44" s="10" t="s">
        <v>279</v>
      </c>
      <c r="R44" s="10"/>
      <c r="S44" s="10"/>
      <c r="T44" s="10" t="s">
        <v>128</v>
      </c>
      <c r="U44" s="10"/>
      <c r="V44" s="10"/>
      <c r="W44" s="10"/>
      <c r="X44" s="10"/>
      <c r="Y44" s="10"/>
      <c r="Z44" s="10"/>
    </row>
    <row r="45" spans="1:26" x14ac:dyDescent="0.25">
      <c r="A45" s="10" t="s">
        <v>58</v>
      </c>
      <c r="B45" s="11">
        <v>0.21</v>
      </c>
      <c r="C45" s="10">
        <v>9</v>
      </c>
      <c r="D45" s="10">
        <v>12</v>
      </c>
      <c r="E45" s="10" t="s">
        <v>84</v>
      </c>
      <c r="F45" s="10" t="s">
        <v>159</v>
      </c>
      <c r="G45" s="10" t="s">
        <v>161</v>
      </c>
      <c r="H45" s="10" t="s">
        <v>165</v>
      </c>
      <c r="I45" s="10"/>
      <c r="J45" s="10" t="s">
        <v>128</v>
      </c>
      <c r="K45" s="10" t="s">
        <v>170</v>
      </c>
      <c r="L45" s="10" t="s">
        <v>176</v>
      </c>
      <c r="M45" s="10" t="s">
        <v>217</v>
      </c>
      <c r="N45" s="13">
        <v>20</v>
      </c>
      <c r="O45" s="12" t="s">
        <v>228</v>
      </c>
      <c r="P45" s="10" t="s">
        <v>270</v>
      </c>
      <c r="Q45" s="10" t="s">
        <v>279</v>
      </c>
      <c r="R45" s="10"/>
      <c r="S45" s="10"/>
      <c r="T45" s="10" t="s">
        <v>128</v>
      </c>
      <c r="U45" s="10"/>
      <c r="V45" s="10"/>
      <c r="W45" s="10"/>
      <c r="X45" s="10"/>
      <c r="Y45" s="10"/>
      <c r="Z45" s="10"/>
    </row>
    <row r="46" spans="1:26" x14ac:dyDescent="0.25">
      <c r="A46" s="10" t="s">
        <v>59</v>
      </c>
      <c r="B46" s="11">
        <v>0.01</v>
      </c>
      <c r="C46" s="10">
        <v>57</v>
      </c>
      <c r="D46" s="10">
        <v>21</v>
      </c>
      <c r="E46" s="10" t="s">
        <v>83</v>
      </c>
      <c r="F46" s="10" t="s">
        <v>159</v>
      </c>
      <c r="G46" s="10" t="s">
        <v>161</v>
      </c>
      <c r="H46" s="10" t="s">
        <v>165</v>
      </c>
      <c r="I46" s="10"/>
      <c r="J46" s="10" t="s">
        <v>128</v>
      </c>
      <c r="K46" s="10" t="s">
        <v>171</v>
      </c>
      <c r="L46" s="10" t="s">
        <v>176</v>
      </c>
      <c r="M46" s="10" t="s">
        <v>218</v>
      </c>
      <c r="N46" s="13">
        <v>20</v>
      </c>
      <c r="O46" s="12" t="s">
        <v>229</v>
      </c>
      <c r="P46" s="10" t="s">
        <v>271</v>
      </c>
      <c r="Q46" s="10" t="s">
        <v>279</v>
      </c>
      <c r="R46" s="10"/>
      <c r="S46" s="10"/>
      <c r="T46" s="10" t="s">
        <v>128</v>
      </c>
      <c r="U46" s="10"/>
      <c r="V46" s="10"/>
      <c r="W46" s="10"/>
      <c r="X46" s="10"/>
      <c r="Y46" s="10"/>
      <c r="Z46" s="10"/>
    </row>
    <row r="47" spans="1:26" x14ac:dyDescent="0.25">
      <c r="A47" s="10" t="s">
        <v>60</v>
      </c>
      <c r="B47" s="11">
        <v>0.04</v>
      </c>
      <c r="C47" s="10">
        <v>30</v>
      </c>
      <c r="D47" s="10">
        <v>18</v>
      </c>
      <c r="E47" s="10" t="s">
        <v>83</v>
      </c>
      <c r="F47" s="10" t="s">
        <v>159</v>
      </c>
      <c r="G47" s="10" t="s">
        <v>162</v>
      </c>
      <c r="H47" s="10" t="s">
        <v>165</v>
      </c>
      <c r="I47" s="10"/>
      <c r="J47" s="10" t="s">
        <v>128</v>
      </c>
      <c r="K47" s="10" t="s">
        <v>172</v>
      </c>
      <c r="L47" s="10" t="s">
        <v>176</v>
      </c>
      <c r="M47" s="10" t="s">
        <v>219</v>
      </c>
      <c r="N47" s="13">
        <v>20</v>
      </c>
      <c r="O47" s="12" t="s">
        <v>230</v>
      </c>
      <c r="P47" s="10" t="s">
        <v>272</v>
      </c>
      <c r="Q47" s="10" t="s">
        <v>279</v>
      </c>
      <c r="R47" s="10"/>
      <c r="S47" s="10"/>
      <c r="T47" s="10" t="s">
        <v>128</v>
      </c>
      <c r="U47" s="10"/>
      <c r="V47" s="10"/>
      <c r="W47" s="10"/>
      <c r="X47" s="10"/>
      <c r="Y47" s="10"/>
      <c r="Z47" s="10"/>
    </row>
    <row r="48" spans="1:26" x14ac:dyDescent="0.25">
      <c r="A48" s="10" t="s">
        <v>61</v>
      </c>
      <c r="B48" s="11">
        <v>0.02</v>
      </c>
      <c r="C48" s="10">
        <v>36</v>
      </c>
      <c r="D48" s="10">
        <v>28</v>
      </c>
      <c r="E48" s="10" t="s">
        <v>84</v>
      </c>
      <c r="F48" s="10" t="s">
        <v>159</v>
      </c>
      <c r="G48" s="10" t="s">
        <v>162</v>
      </c>
      <c r="H48" s="10" t="s">
        <v>165</v>
      </c>
      <c r="I48" s="10"/>
      <c r="J48" s="10" t="s">
        <v>128</v>
      </c>
      <c r="K48" s="10" t="s">
        <v>172</v>
      </c>
      <c r="L48" s="10" t="s">
        <v>176</v>
      </c>
      <c r="M48" s="10" t="s">
        <v>220</v>
      </c>
      <c r="N48" s="13">
        <v>20</v>
      </c>
      <c r="O48" s="12" t="s">
        <v>228</v>
      </c>
      <c r="P48" s="10" t="s">
        <v>273</v>
      </c>
      <c r="Q48" s="10" t="s">
        <v>279</v>
      </c>
      <c r="R48" s="10"/>
      <c r="S48" s="10"/>
      <c r="T48" s="10" t="s">
        <v>128</v>
      </c>
      <c r="U48" s="10"/>
      <c r="V48" s="10"/>
      <c r="W48" s="10"/>
      <c r="X48" s="10"/>
      <c r="Y48" s="10"/>
      <c r="Z48" s="10"/>
    </row>
    <row r="49" spans="1:26" x14ac:dyDescent="0.25">
      <c r="A49" s="10" t="s">
        <v>62</v>
      </c>
      <c r="B49" s="11">
        <v>0.01</v>
      </c>
      <c r="C49" s="10">
        <v>76</v>
      </c>
      <c r="D49" s="10">
        <v>31</v>
      </c>
      <c r="E49" s="10" t="s">
        <v>84</v>
      </c>
      <c r="F49" s="10" t="s">
        <v>159</v>
      </c>
      <c r="G49" s="10" t="s">
        <v>162</v>
      </c>
      <c r="H49" s="10" t="s">
        <v>165</v>
      </c>
      <c r="I49" s="10"/>
      <c r="J49" s="10" t="s">
        <v>128</v>
      </c>
      <c r="K49" s="10" t="s">
        <v>172</v>
      </c>
      <c r="L49" s="10" t="s">
        <v>177</v>
      </c>
      <c r="M49" s="10" t="s">
        <v>221</v>
      </c>
      <c r="N49" s="13">
        <v>20</v>
      </c>
      <c r="O49" s="12" t="s">
        <v>229</v>
      </c>
      <c r="P49" s="10" t="s">
        <v>274</v>
      </c>
      <c r="Q49" s="10" t="s">
        <v>279</v>
      </c>
      <c r="R49" s="10"/>
      <c r="S49" s="10"/>
      <c r="T49" s="10" t="s">
        <v>128</v>
      </c>
      <c r="U49" s="10"/>
      <c r="V49" s="10"/>
      <c r="W49" s="10"/>
      <c r="X49" s="10"/>
      <c r="Y49" s="10"/>
      <c r="Z49" s="10"/>
    </row>
    <row r="50" spans="1:26" x14ac:dyDescent="0.25">
      <c r="A50" s="10" t="s">
        <v>63</v>
      </c>
      <c r="B50" s="11">
        <v>0.47</v>
      </c>
      <c r="C50" s="10">
        <v>42</v>
      </c>
      <c r="D50" s="10">
        <v>31</v>
      </c>
      <c r="E50" s="10" t="s">
        <v>84</v>
      </c>
      <c r="F50" s="10" t="s">
        <v>159</v>
      </c>
      <c r="G50" s="10" t="s">
        <v>162</v>
      </c>
      <c r="H50" s="10" t="s">
        <v>165</v>
      </c>
      <c r="I50" s="10"/>
      <c r="J50" s="10" t="s">
        <v>128</v>
      </c>
      <c r="K50" s="10" t="s">
        <v>173</v>
      </c>
      <c r="L50" s="10" t="s">
        <v>177</v>
      </c>
      <c r="M50" s="10" t="s">
        <v>222</v>
      </c>
      <c r="N50" s="13">
        <v>20</v>
      </c>
      <c r="O50" s="12" t="s">
        <v>230</v>
      </c>
      <c r="P50" s="10" t="s">
        <v>275</v>
      </c>
      <c r="Q50" s="10" t="s">
        <v>279</v>
      </c>
      <c r="R50" s="10"/>
      <c r="S50" s="10"/>
      <c r="T50" s="10" t="s">
        <v>128</v>
      </c>
      <c r="U50" s="10"/>
      <c r="V50" s="10"/>
      <c r="W50" s="10"/>
      <c r="X50" s="10"/>
      <c r="Y50" s="10"/>
      <c r="Z50" s="10"/>
    </row>
    <row r="51" spans="1:26" x14ac:dyDescent="0.25">
      <c r="A51" s="10" t="s">
        <v>64</v>
      </c>
      <c r="B51" s="11">
        <v>0.11</v>
      </c>
      <c r="C51" s="10">
        <v>91</v>
      </c>
      <c r="D51" s="10">
        <v>45</v>
      </c>
      <c r="E51" s="10" t="s">
        <v>85</v>
      </c>
      <c r="F51" s="10" t="s">
        <v>159</v>
      </c>
      <c r="G51" s="10" t="s">
        <v>162</v>
      </c>
      <c r="H51" s="10" t="s">
        <v>163</v>
      </c>
      <c r="I51" s="10"/>
      <c r="J51" s="10" t="s">
        <v>128</v>
      </c>
      <c r="K51" s="10" t="s">
        <v>173</v>
      </c>
      <c r="L51" s="10" t="s">
        <v>177</v>
      </c>
      <c r="M51" s="10" t="s">
        <v>223</v>
      </c>
      <c r="N51" s="13">
        <v>20</v>
      </c>
      <c r="O51" s="12" t="s">
        <v>230</v>
      </c>
      <c r="P51" s="10" t="s">
        <v>275</v>
      </c>
      <c r="Q51" s="10" t="s">
        <v>279</v>
      </c>
      <c r="R51" s="10"/>
      <c r="S51" s="10"/>
      <c r="T51" s="10" t="s">
        <v>128</v>
      </c>
      <c r="U51" s="10"/>
      <c r="V51" s="10"/>
      <c r="W51" s="10"/>
      <c r="X51" s="10"/>
      <c r="Y51" s="10"/>
      <c r="Z51" s="10"/>
    </row>
    <row r="52" spans="1:26" x14ac:dyDescent="0.25">
      <c r="A52" s="10" t="s">
        <v>65</v>
      </c>
      <c r="B52" s="11">
        <v>0.09</v>
      </c>
      <c r="C52" s="10">
        <v>12</v>
      </c>
      <c r="D52" s="10">
        <v>14</v>
      </c>
      <c r="E52" s="10" t="s">
        <v>86</v>
      </c>
      <c r="F52" s="10" t="s">
        <v>159</v>
      </c>
      <c r="G52" s="10" t="s">
        <v>162</v>
      </c>
      <c r="H52" s="10" t="s">
        <v>163</v>
      </c>
      <c r="I52" s="10"/>
      <c r="J52" s="10" t="s">
        <v>128</v>
      </c>
      <c r="K52" s="10" t="s">
        <v>173</v>
      </c>
      <c r="L52" s="10" t="s">
        <v>177</v>
      </c>
      <c r="M52" s="10" t="s">
        <v>224</v>
      </c>
      <c r="N52" s="13">
        <v>20</v>
      </c>
      <c r="O52" s="12" t="s">
        <v>230</v>
      </c>
      <c r="P52" s="10" t="s">
        <v>275</v>
      </c>
      <c r="Q52" s="10" t="s">
        <v>279</v>
      </c>
      <c r="R52" s="10"/>
      <c r="S52" s="10"/>
      <c r="T52" s="10" t="s">
        <v>128</v>
      </c>
      <c r="U52" s="10"/>
      <c r="V52" s="10"/>
      <c r="W52" s="10"/>
      <c r="X52" s="10"/>
      <c r="Y52" s="10"/>
      <c r="Z52" s="10"/>
    </row>
    <row r="53" spans="1:26" x14ac:dyDescent="0.25">
      <c r="A53" s="10" t="s">
        <v>66</v>
      </c>
      <c r="B53" s="11">
        <v>0.25</v>
      </c>
      <c r="C53" s="10">
        <v>36</v>
      </c>
      <c r="D53" s="10">
        <v>27</v>
      </c>
      <c r="E53" s="10" t="s">
        <v>83</v>
      </c>
      <c r="F53" s="10" t="s">
        <v>159</v>
      </c>
      <c r="G53" s="10" t="s">
        <v>162</v>
      </c>
      <c r="H53" s="10" t="s">
        <v>163</v>
      </c>
      <c r="I53" s="10"/>
      <c r="J53" s="10" t="s">
        <v>129</v>
      </c>
      <c r="K53" s="10" t="s">
        <v>173</v>
      </c>
      <c r="L53" s="10" t="s">
        <v>177</v>
      </c>
      <c r="M53" s="10" t="s">
        <v>224</v>
      </c>
      <c r="N53" s="13">
        <v>20</v>
      </c>
      <c r="O53" s="12" t="s">
        <v>230</v>
      </c>
      <c r="P53" s="10" t="s">
        <v>275</v>
      </c>
      <c r="Q53" s="10" t="s">
        <v>279</v>
      </c>
      <c r="R53" s="10"/>
      <c r="S53" s="10"/>
      <c r="T53" s="10" t="s">
        <v>129</v>
      </c>
      <c r="U53" s="10"/>
      <c r="V53" s="10"/>
      <c r="W53" s="10"/>
      <c r="X53" s="10"/>
      <c r="Y53" s="10"/>
      <c r="Z53" s="10"/>
    </row>
    <row r="54" spans="1:26" x14ac:dyDescent="0.25">
      <c r="A54" s="10" t="s">
        <v>67</v>
      </c>
      <c r="B54" s="11">
        <v>0.03</v>
      </c>
      <c r="C54" s="10">
        <v>15</v>
      </c>
      <c r="D54" s="10">
        <v>16</v>
      </c>
      <c r="E54" s="10" t="s">
        <v>83</v>
      </c>
      <c r="F54" s="10" t="s">
        <v>159</v>
      </c>
      <c r="G54" s="10" t="s">
        <v>162</v>
      </c>
      <c r="H54" s="10" t="s">
        <v>163</v>
      </c>
      <c r="I54" s="10"/>
      <c r="J54" s="10" t="s">
        <v>129</v>
      </c>
      <c r="K54" s="10" t="s">
        <v>173</v>
      </c>
      <c r="L54" s="10" t="s">
        <v>177</v>
      </c>
      <c r="M54" s="10" t="s">
        <v>224</v>
      </c>
      <c r="N54" s="13">
        <v>20</v>
      </c>
      <c r="O54" s="12" t="s">
        <v>230</v>
      </c>
      <c r="P54" s="10" t="s">
        <v>275</v>
      </c>
      <c r="Q54" s="10" t="s">
        <v>279</v>
      </c>
      <c r="R54" s="10"/>
      <c r="S54" s="10"/>
      <c r="T54" s="10" t="s">
        <v>129</v>
      </c>
      <c r="U54" s="10"/>
      <c r="V54" s="10"/>
      <c r="W54" s="10"/>
      <c r="X54" s="10"/>
      <c r="Y54" s="10"/>
      <c r="Z54" s="10"/>
    </row>
    <row r="55" spans="1:26" x14ac:dyDescent="0.25">
      <c r="A55" s="10" t="s">
        <v>68</v>
      </c>
      <c r="B55" s="11">
        <v>0.02</v>
      </c>
      <c r="C55" s="10">
        <v>14</v>
      </c>
      <c r="D55" s="10">
        <v>18</v>
      </c>
      <c r="E55" s="10" t="s">
        <v>84</v>
      </c>
      <c r="F55" s="10" t="s">
        <v>159</v>
      </c>
      <c r="G55" s="10" t="s">
        <v>162</v>
      </c>
      <c r="H55" s="10" t="s">
        <v>163</v>
      </c>
      <c r="I55" s="10"/>
      <c r="J55" s="10" t="s">
        <v>129</v>
      </c>
      <c r="K55" s="10" t="s">
        <v>173</v>
      </c>
      <c r="L55" s="10" t="s">
        <v>177</v>
      </c>
      <c r="M55" s="10" t="s">
        <v>224</v>
      </c>
      <c r="N55" s="13">
        <v>20</v>
      </c>
      <c r="O55" s="12" t="s">
        <v>230</v>
      </c>
      <c r="P55" s="10" t="s">
        <v>275</v>
      </c>
      <c r="Q55" s="10" t="s">
        <v>279</v>
      </c>
      <c r="R55" s="10"/>
      <c r="S55" s="10"/>
      <c r="T55" s="10" t="s">
        <v>129</v>
      </c>
      <c r="U55" s="10"/>
      <c r="V55" s="10"/>
      <c r="W55" s="10"/>
      <c r="X55" s="10"/>
      <c r="Y55" s="10"/>
      <c r="Z55" s="10"/>
    </row>
    <row r="56" spans="1:26" x14ac:dyDescent="0.25">
      <c r="A56" s="10" t="s">
        <v>69</v>
      </c>
      <c r="B56" s="11">
        <v>0.09</v>
      </c>
      <c r="C56" s="10">
        <v>24</v>
      </c>
      <c r="D56" s="10">
        <v>24</v>
      </c>
      <c r="E56" s="10" t="s">
        <v>84</v>
      </c>
      <c r="F56" s="10" t="s">
        <v>159</v>
      </c>
      <c r="G56" s="10" t="s">
        <v>162</v>
      </c>
      <c r="H56" s="10" t="s">
        <v>163</v>
      </c>
      <c r="I56" s="10"/>
      <c r="J56" s="10" t="s">
        <v>129</v>
      </c>
      <c r="K56" s="10" t="s">
        <v>173</v>
      </c>
      <c r="L56" s="10" t="s">
        <v>177</v>
      </c>
      <c r="M56" s="10" t="s">
        <v>224</v>
      </c>
      <c r="N56" s="13">
        <v>20</v>
      </c>
      <c r="O56" s="12" t="s">
        <v>230</v>
      </c>
      <c r="P56" s="10" t="s">
        <v>275</v>
      </c>
      <c r="Q56" s="10" t="s">
        <v>279</v>
      </c>
      <c r="R56" s="10"/>
      <c r="S56" s="10"/>
      <c r="T56" s="10" t="s">
        <v>129</v>
      </c>
      <c r="U56" s="10"/>
      <c r="V56" s="10"/>
      <c r="W56" s="10"/>
      <c r="X56" s="10"/>
      <c r="Y56" s="10"/>
      <c r="Z56" s="10"/>
    </row>
    <row r="57" spans="1:26" x14ac:dyDescent="0.25">
      <c r="A57" s="10" t="s">
        <v>70</v>
      </c>
      <c r="B57" s="10" t="s">
        <v>19</v>
      </c>
      <c r="C57" s="10">
        <v>21</v>
      </c>
      <c r="D57" s="10">
        <v>22</v>
      </c>
      <c r="E57" s="10" t="s">
        <v>84</v>
      </c>
      <c r="F57" s="10" t="s">
        <v>159</v>
      </c>
      <c r="G57" s="10" t="s">
        <v>162</v>
      </c>
      <c r="H57" s="10" t="s">
        <v>163</v>
      </c>
      <c r="I57" s="10"/>
      <c r="J57" s="10" t="s">
        <v>129</v>
      </c>
      <c r="K57" s="10" t="s">
        <v>173</v>
      </c>
      <c r="L57" s="10" t="s">
        <v>177</v>
      </c>
      <c r="M57" s="10" t="s">
        <v>224</v>
      </c>
      <c r="N57" s="13">
        <v>20</v>
      </c>
      <c r="O57" s="12" t="s">
        <v>230</v>
      </c>
      <c r="P57" s="10" t="s">
        <v>275</v>
      </c>
      <c r="Q57" s="10" t="s">
        <v>279</v>
      </c>
      <c r="R57" s="10"/>
      <c r="S57" s="10"/>
      <c r="T57" s="10" t="s">
        <v>129</v>
      </c>
      <c r="U57" s="10"/>
      <c r="V57" s="10"/>
      <c r="W57" s="10"/>
      <c r="X57" s="10"/>
      <c r="Y57" s="10"/>
      <c r="Z57" s="10"/>
    </row>
    <row r="58" spans="1:26" x14ac:dyDescent="0.25">
      <c r="A58" s="10" t="s">
        <v>71</v>
      </c>
      <c r="B58" s="11">
        <v>0.64</v>
      </c>
      <c r="C58" s="10">
        <v>15</v>
      </c>
      <c r="D58" s="10">
        <v>21</v>
      </c>
      <c r="E58" s="10" t="s">
        <v>85</v>
      </c>
      <c r="F58" s="10" t="s">
        <v>159</v>
      </c>
      <c r="G58" s="10" t="s">
        <v>162</v>
      </c>
      <c r="H58" s="10" t="s">
        <v>163</v>
      </c>
      <c r="I58" s="10"/>
      <c r="J58" s="10" t="s">
        <v>129</v>
      </c>
      <c r="K58" s="10" t="s">
        <v>173</v>
      </c>
      <c r="L58" s="10" t="s">
        <v>177</v>
      </c>
      <c r="M58" s="10" t="s">
        <v>224</v>
      </c>
      <c r="N58" s="13">
        <v>20</v>
      </c>
      <c r="O58" s="12" t="s">
        <v>230</v>
      </c>
      <c r="P58" s="10" t="s">
        <v>275</v>
      </c>
      <c r="Q58" s="10" t="s">
        <v>279</v>
      </c>
      <c r="R58" s="10"/>
      <c r="S58" s="10"/>
      <c r="T58" s="10" t="s">
        <v>129</v>
      </c>
      <c r="U58" s="10"/>
      <c r="V58" s="10"/>
      <c r="W58" s="10"/>
      <c r="X58" s="10"/>
      <c r="Y58" s="10"/>
      <c r="Z58" s="10"/>
    </row>
    <row r="59" spans="1:26" x14ac:dyDescent="0.25">
      <c r="A59" s="10" t="s">
        <v>72</v>
      </c>
      <c r="B59" s="11">
        <v>0.17</v>
      </c>
      <c r="C59" s="10">
        <v>10</v>
      </c>
      <c r="D59" s="10">
        <v>18</v>
      </c>
      <c r="E59" s="10" t="s">
        <v>86</v>
      </c>
      <c r="F59" s="10" t="s">
        <v>159</v>
      </c>
      <c r="G59" s="10" t="s">
        <v>162</v>
      </c>
      <c r="H59" s="10" t="s">
        <v>163</v>
      </c>
      <c r="I59" s="10"/>
      <c r="J59" s="10" t="s">
        <v>129</v>
      </c>
      <c r="K59" s="10" t="s">
        <v>173</v>
      </c>
      <c r="L59" s="10" t="s">
        <v>177</v>
      </c>
      <c r="M59" s="10" t="s">
        <v>224</v>
      </c>
      <c r="N59" s="13">
        <v>20</v>
      </c>
      <c r="O59" s="12" t="s">
        <v>230</v>
      </c>
      <c r="P59" s="10" t="s">
        <v>275</v>
      </c>
      <c r="Q59" s="10" t="s">
        <v>279</v>
      </c>
      <c r="R59" s="10"/>
      <c r="S59" s="10"/>
      <c r="T59" s="10" t="s">
        <v>129</v>
      </c>
      <c r="U59" s="10"/>
      <c r="V59" s="10"/>
      <c r="W59" s="10"/>
      <c r="X59" s="10"/>
      <c r="Y59" s="10"/>
      <c r="Z59" s="10"/>
    </row>
    <row r="60" spans="1:26" x14ac:dyDescent="0.25">
      <c r="A60" s="10" t="s">
        <v>73</v>
      </c>
      <c r="B60" s="11">
        <v>0.12</v>
      </c>
      <c r="C60" s="10">
        <v>27</v>
      </c>
      <c r="D60" s="10">
        <v>27</v>
      </c>
      <c r="E60" s="10" t="s">
        <v>83</v>
      </c>
      <c r="F60" s="10" t="s">
        <v>159</v>
      </c>
      <c r="G60" s="10" t="s">
        <v>162</v>
      </c>
      <c r="H60" s="10" t="s">
        <v>163</v>
      </c>
      <c r="I60" s="10"/>
      <c r="J60" s="10" t="s">
        <v>129</v>
      </c>
      <c r="K60" s="10" t="s">
        <v>173</v>
      </c>
      <c r="L60" s="10" t="s">
        <v>177</v>
      </c>
      <c r="M60" s="10" t="s">
        <v>224</v>
      </c>
      <c r="N60" s="13">
        <v>20</v>
      </c>
      <c r="O60" s="12" t="s">
        <v>230</v>
      </c>
      <c r="P60" s="10" t="s">
        <v>275</v>
      </c>
      <c r="Q60" s="10" t="s">
        <v>279</v>
      </c>
      <c r="R60" s="10"/>
      <c r="S60" s="10"/>
      <c r="T60" s="10" t="s">
        <v>129</v>
      </c>
      <c r="U60" s="10"/>
      <c r="V60" s="10"/>
      <c r="W60" s="10"/>
      <c r="X60" s="10"/>
      <c r="Y60" s="10"/>
      <c r="Z60" s="10"/>
    </row>
    <row r="61" spans="1:26" x14ac:dyDescent="0.25">
      <c r="A61" s="10" t="s">
        <v>74</v>
      </c>
      <c r="B61" s="11">
        <v>0.13</v>
      </c>
      <c r="C61" s="10">
        <v>7</v>
      </c>
      <c r="D61" s="10">
        <v>6</v>
      </c>
      <c r="E61" s="10" t="s">
        <v>83</v>
      </c>
      <c r="F61" s="10" t="s">
        <v>159</v>
      </c>
      <c r="G61" s="10" t="s">
        <v>162</v>
      </c>
      <c r="H61" s="10" t="s">
        <v>163</v>
      </c>
      <c r="I61" s="10"/>
      <c r="J61" s="10" t="s">
        <v>129</v>
      </c>
      <c r="K61" s="10" t="s">
        <v>173</v>
      </c>
      <c r="L61" s="10" t="s">
        <v>177</v>
      </c>
      <c r="M61" s="10" t="s">
        <v>224</v>
      </c>
      <c r="N61" s="13">
        <v>20</v>
      </c>
      <c r="O61" s="12" t="s">
        <v>230</v>
      </c>
      <c r="P61" s="10" t="s">
        <v>275</v>
      </c>
      <c r="Q61" s="10" t="s">
        <v>279</v>
      </c>
      <c r="R61" s="10"/>
      <c r="S61" s="10"/>
      <c r="T61" s="10" t="s">
        <v>129</v>
      </c>
      <c r="U61" s="10"/>
      <c r="V61" s="10"/>
      <c r="W61" s="10"/>
      <c r="X61" s="10"/>
      <c r="Y61" s="10"/>
      <c r="Z61" s="10"/>
    </row>
    <row r="62" spans="1:26" x14ac:dyDescent="0.25">
      <c r="A62" s="10" t="s">
        <v>75</v>
      </c>
      <c r="B62" s="11">
        <v>0.03</v>
      </c>
      <c r="C62" s="10">
        <v>71</v>
      </c>
      <c r="D62" s="10">
        <v>38</v>
      </c>
      <c r="E62" s="10" t="s">
        <v>84</v>
      </c>
      <c r="F62" s="10" t="s">
        <v>159</v>
      </c>
      <c r="G62" s="10" t="s">
        <v>162</v>
      </c>
      <c r="H62" s="10" t="s">
        <v>163</v>
      </c>
      <c r="I62" s="10"/>
      <c r="J62" s="10" t="s">
        <v>129</v>
      </c>
      <c r="K62" s="10" t="s">
        <v>173</v>
      </c>
      <c r="L62" s="10" t="s">
        <v>177</v>
      </c>
      <c r="M62" s="10" t="s">
        <v>224</v>
      </c>
      <c r="N62" s="13">
        <v>20</v>
      </c>
      <c r="O62" s="12" t="s">
        <v>230</v>
      </c>
      <c r="P62" s="10" t="s">
        <v>275</v>
      </c>
      <c r="Q62" s="10" t="s">
        <v>279</v>
      </c>
      <c r="R62" s="10"/>
      <c r="S62" s="10"/>
      <c r="T62" s="10" t="s">
        <v>129</v>
      </c>
      <c r="U62" s="10"/>
      <c r="V62" s="10"/>
      <c r="W62" s="10"/>
      <c r="X62" s="10"/>
      <c r="Y62" s="10"/>
      <c r="Z62" s="10"/>
    </row>
    <row r="63" spans="1:26" x14ac:dyDescent="0.25">
      <c r="A63" s="10" t="s">
        <v>76</v>
      </c>
      <c r="B63" s="11">
        <v>0.03</v>
      </c>
      <c r="C63" s="10">
        <v>29</v>
      </c>
      <c r="D63" s="10">
        <v>22</v>
      </c>
      <c r="E63" s="10" t="s">
        <v>84</v>
      </c>
      <c r="F63" s="10" t="s">
        <v>159</v>
      </c>
      <c r="G63" s="10" t="s">
        <v>162</v>
      </c>
      <c r="H63" s="10" t="s">
        <v>163</v>
      </c>
      <c r="I63" s="10"/>
      <c r="J63" s="10" t="s">
        <v>129</v>
      </c>
      <c r="K63" s="10" t="s">
        <v>173</v>
      </c>
      <c r="L63" s="10" t="s">
        <v>177</v>
      </c>
      <c r="M63" s="10" t="s">
        <v>224</v>
      </c>
      <c r="N63" s="13">
        <v>20</v>
      </c>
      <c r="O63" s="12" t="s">
        <v>230</v>
      </c>
      <c r="P63" s="10" t="s">
        <v>275</v>
      </c>
      <c r="Q63" s="10" t="s">
        <v>279</v>
      </c>
      <c r="R63" s="10"/>
      <c r="S63" s="10"/>
      <c r="T63" s="10" t="s">
        <v>129</v>
      </c>
      <c r="U63" s="10"/>
      <c r="V63" s="10"/>
      <c r="W63" s="10"/>
      <c r="X63" s="10"/>
      <c r="Y63" s="10"/>
      <c r="Z63" s="10"/>
    </row>
    <row r="64" spans="1:26" x14ac:dyDescent="0.25">
      <c r="A64" s="10" t="s">
        <v>77</v>
      </c>
      <c r="B64" s="11">
        <v>0.01</v>
      </c>
      <c r="C64" s="10">
        <v>22</v>
      </c>
      <c r="D64" s="10">
        <v>17</v>
      </c>
      <c r="E64" s="10" t="s">
        <v>84</v>
      </c>
      <c r="F64" s="10" t="s">
        <v>159</v>
      </c>
      <c r="G64" s="10" t="s">
        <v>162</v>
      </c>
      <c r="H64" s="10" t="s">
        <v>163</v>
      </c>
      <c r="I64" s="10"/>
      <c r="J64" s="10" t="s">
        <v>129</v>
      </c>
      <c r="K64" s="10" t="s">
        <v>173</v>
      </c>
      <c r="L64" s="10" t="s">
        <v>177</v>
      </c>
      <c r="M64" s="10" t="s">
        <v>224</v>
      </c>
      <c r="N64" s="13">
        <v>20</v>
      </c>
      <c r="O64" s="12" t="s">
        <v>230</v>
      </c>
      <c r="P64" s="10" t="s">
        <v>275</v>
      </c>
      <c r="Q64" s="10" t="s">
        <v>279</v>
      </c>
      <c r="R64" s="10"/>
      <c r="S64" s="10"/>
      <c r="T64" s="10" t="s">
        <v>129</v>
      </c>
      <c r="U64" s="10"/>
      <c r="V64" s="10"/>
      <c r="W64" s="10"/>
      <c r="X64" s="10"/>
      <c r="Y64" s="10"/>
      <c r="Z64" s="10"/>
    </row>
    <row r="65" spans="1:26" x14ac:dyDescent="0.25">
      <c r="A65" s="10" t="s">
        <v>78</v>
      </c>
      <c r="B65" s="11">
        <v>0.38</v>
      </c>
      <c r="C65" s="10">
        <v>29</v>
      </c>
      <c r="D65" s="10">
        <v>26</v>
      </c>
      <c r="E65" s="10" t="s">
        <v>85</v>
      </c>
      <c r="F65" s="10" t="s">
        <v>159</v>
      </c>
      <c r="G65" s="10" t="s">
        <v>162</v>
      </c>
      <c r="H65" s="10" t="s">
        <v>163</v>
      </c>
      <c r="I65" s="10"/>
      <c r="J65" s="10" t="s">
        <v>129</v>
      </c>
      <c r="K65" s="10" t="s">
        <v>173</v>
      </c>
      <c r="L65" s="10" t="s">
        <v>177</v>
      </c>
      <c r="M65" s="10" t="s">
        <v>224</v>
      </c>
      <c r="N65" s="13">
        <v>20</v>
      </c>
      <c r="O65" s="12" t="s">
        <v>230</v>
      </c>
      <c r="P65" s="10" t="s">
        <v>275</v>
      </c>
      <c r="Q65" s="10" t="s">
        <v>279</v>
      </c>
      <c r="R65" s="10"/>
      <c r="S65" s="10"/>
      <c r="T65" s="10" t="s">
        <v>129</v>
      </c>
      <c r="U65" s="10"/>
      <c r="V65" s="10"/>
      <c r="W65" s="10"/>
      <c r="X65" s="10"/>
      <c r="Y65" s="10"/>
      <c r="Z65" s="10"/>
    </row>
    <row r="66" spans="1:26" x14ac:dyDescent="0.25">
      <c r="A66" s="10" t="s">
        <v>79</v>
      </c>
      <c r="B66" s="11">
        <v>0.49</v>
      </c>
      <c r="C66" s="10">
        <v>21</v>
      </c>
      <c r="D66" s="10">
        <v>25</v>
      </c>
      <c r="E66" s="10" t="s">
        <v>86</v>
      </c>
      <c r="F66" s="10" t="s">
        <v>159</v>
      </c>
      <c r="G66" s="10" t="s">
        <v>162</v>
      </c>
      <c r="H66" s="10" t="s">
        <v>163</v>
      </c>
      <c r="I66" s="10"/>
      <c r="J66" s="10" t="s">
        <v>129</v>
      </c>
      <c r="K66" s="10" t="s">
        <v>173</v>
      </c>
      <c r="L66" s="10" t="s">
        <v>177</v>
      </c>
      <c r="M66" s="10" t="s">
        <v>224</v>
      </c>
      <c r="N66" s="13">
        <v>20</v>
      </c>
      <c r="O66" s="12" t="s">
        <v>230</v>
      </c>
      <c r="P66" s="10" t="s">
        <v>275</v>
      </c>
      <c r="Q66" s="10" t="s">
        <v>279</v>
      </c>
      <c r="R66" s="10"/>
      <c r="S66" s="10"/>
      <c r="T66" s="10" t="s">
        <v>129</v>
      </c>
      <c r="U66" s="10"/>
      <c r="V66" s="10"/>
      <c r="W66" s="10"/>
      <c r="X66" s="10"/>
      <c r="Y66" s="10"/>
      <c r="Z66" s="10"/>
    </row>
    <row r="67" spans="1:26" x14ac:dyDescent="0.25">
      <c r="A67" s="10" t="s">
        <v>80</v>
      </c>
      <c r="B67" s="11">
        <v>0.06</v>
      </c>
      <c r="C67" s="10">
        <v>50</v>
      </c>
      <c r="D67" s="10">
        <v>32</v>
      </c>
      <c r="E67" s="10" t="s">
        <v>86</v>
      </c>
      <c r="F67" s="10" t="s">
        <v>159</v>
      </c>
      <c r="G67" s="10" t="s">
        <v>162</v>
      </c>
      <c r="H67" s="10" t="s">
        <v>163</v>
      </c>
      <c r="I67" s="10"/>
      <c r="J67" s="10" t="s">
        <v>129</v>
      </c>
      <c r="K67" s="10" t="s">
        <v>173</v>
      </c>
      <c r="L67" s="10" t="s">
        <v>177</v>
      </c>
      <c r="M67" s="10" t="s">
        <v>224</v>
      </c>
      <c r="N67" s="13">
        <v>20</v>
      </c>
      <c r="O67" s="12" t="s">
        <v>230</v>
      </c>
      <c r="P67" s="10" t="s">
        <v>275</v>
      </c>
      <c r="Q67" s="10" t="s">
        <v>279</v>
      </c>
      <c r="R67" s="10"/>
      <c r="S67" s="10"/>
      <c r="T67" s="10" t="s">
        <v>129</v>
      </c>
      <c r="U67" s="10"/>
      <c r="V67" s="10"/>
      <c r="W67" s="10"/>
      <c r="X67" s="10"/>
      <c r="Y67" s="10"/>
      <c r="Z67" s="10"/>
    </row>
    <row r="68" spans="1:26" x14ac:dyDescent="0.25">
      <c r="A68" s="10" t="s">
        <v>81</v>
      </c>
      <c r="B68" s="11">
        <v>0.01</v>
      </c>
      <c r="C68" s="10">
        <v>10</v>
      </c>
      <c r="D68" s="10">
        <v>16</v>
      </c>
      <c r="E68" s="10" t="s">
        <v>86</v>
      </c>
      <c r="F68" s="10" t="s">
        <v>159</v>
      </c>
      <c r="G68" s="10" t="s">
        <v>162</v>
      </c>
      <c r="H68" s="10" t="s">
        <v>163</v>
      </c>
      <c r="I68" s="10"/>
      <c r="J68" s="10" t="s">
        <v>129</v>
      </c>
      <c r="K68" s="10" t="s">
        <v>173</v>
      </c>
      <c r="L68" s="10" t="s">
        <v>177</v>
      </c>
      <c r="M68" s="10" t="s">
        <v>224</v>
      </c>
      <c r="N68" s="13">
        <v>20</v>
      </c>
      <c r="O68" s="12" t="s">
        <v>230</v>
      </c>
      <c r="P68" s="10" t="s">
        <v>275</v>
      </c>
      <c r="Q68" s="10" t="s">
        <v>279</v>
      </c>
      <c r="R68" s="10"/>
      <c r="S68" s="10"/>
      <c r="T68" s="10" t="s">
        <v>129</v>
      </c>
      <c r="U68" s="10"/>
      <c r="V68" s="10"/>
      <c r="W68" s="10"/>
      <c r="X68" s="10"/>
      <c r="Y68" s="10"/>
      <c r="Z68" s="10"/>
    </row>
    <row r="69" spans="1:26" x14ac:dyDescent="0.25">
      <c r="A69" s="10" t="s">
        <v>82</v>
      </c>
      <c r="B69" s="11">
        <v>0.02</v>
      </c>
      <c r="C69" s="10">
        <v>74</v>
      </c>
      <c r="D69" s="10">
        <v>35</v>
      </c>
      <c r="E69" s="10" t="s">
        <v>86</v>
      </c>
      <c r="F69" s="10" t="s">
        <v>159</v>
      </c>
      <c r="G69" s="10" t="s">
        <v>162</v>
      </c>
      <c r="H69" s="10" t="s">
        <v>163</v>
      </c>
      <c r="I69" s="10"/>
      <c r="J69" s="10" t="s">
        <v>129</v>
      </c>
      <c r="K69" s="10" t="s">
        <v>173</v>
      </c>
      <c r="L69" s="10" t="s">
        <v>177</v>
      </c>
      <c r="M69" s="10" t="s">
        <v>224</v>
      </c>
      <c r="N69" s="13">
        <v>20</v>
      </c>
      <c r="O69" s="12" t="s">
        <v>230</v>
      </c>
      <c r="P69" s="10" t="s">
        <v>275</v>
      </c>
      <c r="Q69" s="10" t="s">
        <v>279</v>
      </c>
      <c r="R69" s="10"/>
      <c r="S69" s="10"/>
      <c r="T69" s="10" t="s">
        <v>129</v>
      </c>
      <c r="U69" s="10"/>
      <c r="V69" s="10"/>
      <c r="W69" s="10"/>
      <c r="X69" s="10"/>
      <c r="Y69" s="10"/>
      <c r="Z69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3:R77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"/>
    </sheetView>
  </sheetViews>
  <sheetFormatPr defaultRowHeight="15" x14ac:dyDescent="0.25"/>
  <cols>
    <col min="1" max="1" width="57.140625" bestFit="1" customWidth="1"/>
    <col min="2" max="2" width="16.5703125" bestFit="1" customWidth="1"/>
    <col min="3" max="4" width="7.85546875" customWidth="1"/>
    <col min="5" max="5" width="7" customWidth="1"/>
    <col min="6" max="6" width="13.85546875" bestFit="1" customWidth="1"/>
    <col min="7" max="7" width="13.7109375" bestFit="1" customWidth="1"/>
    <col min="8" max="8" width="13.42578125" bestFit="1" customWidth="1"/>
    <col min="9" max="9" width="10" bestFit="1" customWidth="1"/>
    <col min="10" max="10" width="12.140625" bestFit="1" customWidth="1"/>
    <col min="11" max="11" width="15.42578125" bestFit="1" customWidth="1"/>
    <col min="12" max="12" width="13.28515625" bestFit="1" customWidth="1"/>
    <col min="13" max="13" width="64.42578125" bestFit="1" customWidth="1"/>
    <col min="14" max="14" width="6" bestFit="1" customWidth="1"/>
    <col min="15" max="15" width="14.42578125" bestFit="1" customWidth="1"/>
    <col min="16" max="16" width="63.7109375" bestFit="1" customWidth="1"/>
    <col min="17" max="17" width="23.42578125" bestFit="1" customWidth="1"/>
    <col min="18" max="18" width="46.85546875" bestFit="1" customWidth="1"/>
  </cols>
  <sheetData>
    <row r="3" spans="1:18" x14ac:dyDescent="0.25">
      <c r="A3" t="s">
        <v>282</v>
      </c>
    </row>
    <row r="4" spans="1:18" x14ac:dyDescent="0.25">
      <c r="A4" s="2" t="s">
        <v>3</v>
      </c>
      <c r="B4" s="1" t="s">
        <v>4</v>
      </c>
      <c r="C4" s="1" t="s">
        <v>5</v>
      </c>
      <c r="D4" s="1" t="s">
        <v>6</v>
      </c>
      <c r="E4" s="1" t="s">
        <v>2</v>
      </c>
      <c r="F4" s="1" t="s">
        <v>7</v>
      </c>
      <c r="G4" s="1" t="s">
        <v>8</v>
      </c>
      <c r="H4" s="1" t="s">
        <v>9</v>
      </c>
      <c r="I4" s="9" t="s">
        <v>284</v>
      </c>
      <c r="J4" s="1" t="s">
        <v>10</v>
      </c>
      <c r="K4" s="1" t="s">
        <v>11</v>
      </c>
      <c r="L4" s="1" t="s">
        <v>12</v>
      </c>
      <c r="M4" s="2" t="s">
        <v>13</v>
      </c>
      <c r="N4" s="2" t="s">
        <v>14</v>
      </c>
      <c r="O4" s="3" t="s">
        <v>15</v>
      </c>
      <c r="P4" s="1" t="s">
        <v>16</v>
      </c>
      <c r="Q4" s="1" t="s">
        <v>17</v>
      </c>
      <c r="R4" s="1" t="s">
        <v>280</v>
      </c>
    </row>
    <row r="5" spans="1:18" x14ac:dyDescent="0.25">
      <c r="A5" t="s">
        <v>108</v>
      </c>
      <c r="B5" s="4">
        <v>0.28000000000000003</v>
      </c>
      <c r="C5">
        <v>53</v>
      </c>
      <c r="D5">
        <v>30</v>
      </c>
      <c r="E5" t="s">
        <v>83</v>
      </c>
      <c r="F5" t="s">
        <v>156</v>
      </c>
      <c r="G5" t="s">
        <v>160</v>
      </c>
      <c r="H5" t="s">
        <v>163</v>
      </c>
      <c r="J5" t="s">
        <v>128</v>
      </c>
      <c r="K5" t="s">
        <v>285</v>
      </c>
      <c r="L5" t="s">
        <v>174</v>
      </c>
      <c r="M5" t="s">
        <v>178</v>
      </c>
      <c r="N5" t="s">
        <v>225</v>
      </c>
      <c r="O5" s="6" t="s">
        <v>228</v>
      </c>
      <c r="P5" t="s">
        <v>231</v>
      </c>
      <c r="Q5" t="s">
        <v>276</v>
      </c>
      <c r="R5" t="s">
        <v>18</v>
      </c>
    </row>
    <row r="6" spans="1:18" x14ac:dyDescent="0.25">
      <c r="A6" t="s">
        <v>109</v>
      </c>
      <c r="B6" s="4" t="s">
        <v>19</v>
      </c>
      <c r="C6">
        <v>41</v>
      </c>
      <c r="D6">
        <v>26</v>
      </c>
      <c r="E6" t="s">
        <v>83</v>
      </c>
      <c r="F6" t="s">
        <v>156</v>
      </c>
      <c r="G6" t="s">
        <v>160</v>
      </c>
      <c r="H6" t="s">
        <v>164</v>
      </c>
      <c r="J6" t="s">
        <v>128</v>
      </c>
      <c r="K6" t="s">
        <v>166</v>
      </c>
      <c r="L6" t="s">
        <v>174</v>
      </c>
      <c r="M6" t="s">
        <v>179</v>
      </c>
      <c r="N6" t="s">
        <v>225</v>
      </c>
      <c r="O6" s="6" t="s">
        <v>229</v>
      </c>
      <c r="P6" t="s">
        <v>232</v>
      </c>
      <c r="Q6" t="s">
        <v>276</v>
      </c>
      <c r="R6" t="s">
        <v>87</v>
      </c>
    </row>
    <row r="7" spans="1:18" x14ac:dyDescent="0.25">
      <c r="A7" t="s">
        <v>110</v>
      </c>
      <c r="B7" s="4">
        <v>0.13</v>
      </c>
      <c r="C7">
        <v>29</v>
      </c>
      <c r="D7">
        <v>26</v>
      </c>
      <c r="E7" t="s">
        <v>84</v>
      </c>
      <c r="F7" t="s">
        <v>156</v>
      </c>
      <c r="G7" t="s">
        <v>160</v>
      </c>
      <c r="H7" t="s">
        <v>164</v>
      </c>
      <c r="J7" t="s">
        <v>128</v>
      </c>
      <c r="K7" t="s">
        <v>166</v>
      </c>
      <c r="L7" t="s">
        <v>174</v>
      </c>
      <c r="M7" t="s">
        <v>180</v>
      </c>
      <c r="N7" t="s">
        <v>225</v>
      </c>
      <c r="O7" s="6" t="s">
        <v>230</v>
      </c>
      <c r="P7" t="s">
        <v>233</v>
      </c>
      <c r="Q7" t="s">
        <v>276</v>
      </c>
      <c r="R7" t="s">
        <v>88</v>
      </c>
    </row>
    <row r="8" spans="1:18" x14ac:dyDescent="0.25">
      <c r="A8" t="s">
        <v>111</v>
      </c>
      <c r="B8" s="4">
        <v>0.04</v>
      </c>
      <c r="C8">
        <v>55</v>
      </c>
      <c r="D8">
        <v>32</v>
      </c>
      <c r="E8" t="s">
        <v>84</v>
      </c>
      <c r="F8" t="s">
        <v>156</v>
      </c>
      <c r="G8" t="s">
        <v>160</v>
      </c>
      <c r="H8" t="s">
        <v>165</v>
      </c>
      <c r="J8" t="s">
        <v>128</v>
      </c>
      <c r="K8" t="s">
        <v>166</v>
      </c>
      <c r="L8" t="s">
        <v>174</v>
      </c>
      <c r="M8" t="s">
        <v>181</v>
      </c>
      <c r="N8" t="s">
        <v>225</v>
      </c>
      <c r="O8" s="6" t="s">
        <v>228</v>
      </c>
      <c r="P8" t="s">
        <v>234</v>
      </c>
      <c r="Q8" t="s">
        <v>276</v>
      </c>
      <c r="R8" t="s">
        <v>89</v>
      </c>
    </row>
    <row r="9" spans="1:18" x14ac:dyDescent="0.25">
      <c r="A9" t="s">
        <v>112</v>
      </c>
      <c r="B9" s="4">
        <v>0.52</v>
      </c>
      <c r="C9">
        <v>1</v>
      </c>
      <c r="D9">
        <v>27</v>
      </c>
      <c r="E9" t="s">
        <v>84</v>
      </c>
      <c r="F9" t="s">
        <v>156</v>
      </c>
      <c r="G9" t="s">
        <v>160</v>
      </c>
      <c r="H9" t="s">
        <v>165</v>
      </c>
      <c r="J9" t="s">
        <v>128</v>
      </c>
      <c r="K9" t="s">
        <v>167</v>
      </c>
      <c r="L9" t="s">
        <v>174</v>
      </c>
      <c r="M9" t="s">
        <v>182</v>
      </c>
      <c r="N9" t="s">
        <v>225</v>
      </c>
      <c r="O9" s="6" t="s">
        <v>229</v>
      </c>
      <c r="P9" t="s">
        <v>235</v>
      </c>
      <c r="Q9" t="s">
        <v>276</v>
      </c>
      <c r="R9" t="s">
        <v>23</v>
      </c>
    </row>
    <row r="10" spans="1:18" x14ac:dyDescent="0.25">
      <c r="A10" t="s">
        <v>113</v>
      </c>
      <c r="B10" s="4">
        <v>0.02</v>
      </c>
      <c r="C10">
        <v>34</v>
      </c>
      <c r="D10">
        <v>24</v>
      </c>
      <c r="E10" t="s">
        <v>83</v>
      </c>
      <c r="F10" t="s">
        <v>156</v>
      </c>
      <c r="G10" t="s">
        <v>160</v>
      </c>
      <c r="H10" t="s">
        <v>165</v>
      </c>
      <c r="J10" t="s">
        <v>128</v>
      </c>
      <c r="K10" t="s">
        <v>167</v>
      </c>
      <c r="L10" t="s">
        <v>175</v>
      </c>
      <c r="M10" t="s">
        <v>183</v>
      </c>
      <c r="N10" t="s">
        <v>225</v>
      </c>
      <c r="O10" s="6" t="s">
        <v>230</v>
      </c>
      <c r="P10" t="s">
        <v>236</v>
      </c>
      <c r="Q10" t="s">
        <v>276</v>
      </c>
      <c r="R10" t="s">
        <v>90</v>
      </c>
    </row>
    <row r="11" spans="1:18" x14ac:dyDescent="0.25">
      <c r="A11" t="s">
        <v>114</v>
      </c>
      <c r="B11" s="4">
        <v>7.0000000000000007E-2</v>
      </c>
      <c r="C11">
        <v>6</v>
      </c>
      <c r="D11">
        <v>12</v>
      </c>
      <c r="E11" t="s">
        <v>83</v>
      </c>
      <c r="F11" t="s">
        <v>156</v>
      </c>
      <c r="G11" t="s">
        <v>160</v>
      </c>
      <c r="H11" t="s">
        <v>165</v>
      </c>
      <c r="J11" t="s">
        <v>128</v>
      </c>
      <c r="K11" t="s">
        <v>167</v>
      </c>
      <c r="L11" t="s">
        <v>175</v>
      </c>
      <c r="M11" t="s">
        <v>184</v>
      </c>
      <c r="N11" t="s">
        <v>225</v>
      </c>
      <c r="O11" s="6" t="s">
        <v>228</v>
      </c>
      <c r="P11" t="s">
        <v>237</v>
      </c>
      <c r="Q11" t="s">
        <v>277</v>
      </c>
      <c r="R11" t="s">
        <v>25</v>
      </c>
    </row>
    <row r="12" spans="1:18" x14ac:dyDescent="0.25">
      <c r="A12" t="s">
        <v>115</v>
      </c>
      <c r="B12" s="4">
        <v>7.0000000000000007E-2</v>
      </c>
      <c r="C12">
        <v>11</v>
      </c>
      <c r="D12">
        <v>12</v>
      </c>
      <c r="E12" t="s">
        <v>84</v>
      </c>
      <c r="F12" t="s">
        <v>156</v>
      </c>
      <c r="G12" t="s">
        <v>160</v>
      </c>
      <c r="H12" t="s">
        <v>165</v>
      </c>
      <c r="J12" t="s">
        <v>128</v>
      </c>
      <c r="K12" t="s">
        <v>168</v>
      </c>
      <c r="L12" t="s">
        <v>175</v>
      </c>
      <c r="M12" t="s">
        <v>185</v>
      </c>
      <c r="N12" t="s">
        <v>225</v>
      </c>
      <c r="O12" s="6" t="s">
        <v>229</v>
      </c>
      <c r="P12" t="s">
        <v>238</v>
      </c>
      <c r="Q12" t="s">
        <v>278</v>
      </c>
      <c r="R12" t="s">
        <v>26</v>
      </c>
    </row>
    <row r="13" spans="1:18" x14ac:dyDescent="0.25">
      <c r="A13" t="s">
        <v>116</v>
      </c>
      <c r="B13" s="4">
        <v>7.0000000000000007E-2</v>
      </c>
      <c r="C13">
        <v>11</v>
      </c>
      <c r="D13">
        <v>11</v>
      </c>
      <c r="E13" t="s">
        <v>84</v>
      </c>
      <c r="F13" t="s">
        <v>157</v>
      </c>
      <c r="G13" t="s">
        <v>91</v>
      </c>
      <c r="H13" t="s">
        <v>165</v>
      </c>
      <c r="J13" t="s">
        <v>128</v>
      </c>
      <c r="K13" t="s">
        <v>168</v>
      </c>
      <c r="L13" t="s">
        <v>175</v>
      </c>
      <c r="M13" t="s">
        <v>186</v>
      </c>
      <c r="N13" t="s">
        <v>225</v>
      </c>
      <c r="O13" s="6" t="s">
        <v>230</v>
      </c>
      <c r="P13" t="s">
        <v>239</v>
      </c>
      <c r="Q13" t="s">
        <v>278</v>
      </c>
      <c r="R13" t="s">
        <v>27</v>
      </c>
    </row>
    <row r="14" spans="1:18" x14ac:dyDescent="0.25">
      <c r="A14" t="s">
        <v>117</v>
      </c>
      <c r="B14" s="4">
        <v>0.08</v>
      </c>
      <c r="C14">
        <v>11</v>
      </c>
      <c r="D14">
        <v>11</v>
      </c>
      <c r="E14" t="s">
        <v>84</v>
      </c>
      <c r="F14" t="s">
        <v>157</v>
      </c>
      <c r="G14" t="s">
        <v>91</v>
      </c>
      <c r="H14" t="s">
        <v>163</v>
      </c>
      <c r="J14" t="s">
        <v>128</v>
      </c>
      <c r="K14" t="s">
        <v>168</v>
      </c>
      <c r="L14" t="s">
        <v>175</v>
      </c>
      <c r="M14" t="s">
        <v>187</v>
      </c>
      <c r="N14" t="s">
        <v>226</v>
      </c>
      <c r="O14" s="6" t="s">
        <v>228</v>
      </c>
      <c r="P14" t="s">
        <v>240</v>
      </c>
      <c r="Q14" t="s">
        <v>278</v>
      </c>
      <c r="R14" t="s">
        <v>28</v>
      </c>
    </row>
    <row r="15" spans="1:18" x14ac:dyDescent="0.25">
      <c r="A15" t="s">
        <v>118</v>
      </c>
      <c r="B15" s="4">
        <v>7.0000000000000007E-2</v>
      </c>
      <c r="C15">
        <v>12</v>
      </c>
      <c r="D15">
        <v>12</v>
      </c>
      <c r="E15" t="s">
        <v>83</v>
      </c>
      <c r="F15" t="s">
        <v>157</v>
      </c>
      <c r="G15" t="s">
        <v>91</v>
      </c>
      <c r="H15" t="s">
        <v>164</v>
      </c>
      <c r="J15" t="s">
        <v>128</v>
      </c>
      <c r="K15" t="s">
        <v>168</v>
      </c>
      <c r="L15" t="s">
        <v>176</v>
      </c>
      <c r="M15" t="s">
        <v>188</v>
      </c>
      <c r="N15" t="s">
        <v>226</v>
      </c>
      <c r="O15" s="6" t="s">
        <v>229</v>
      </c>
      <c r="P15" t="s">
        <v>241</v>
      </c>
      <c r="Q15" t="s">
        <v>278</v>
      </c>
      <c r="R15" t="s">
        <v>29</v>
      </c>
    </row>
    <row r="16" spans="1:18" x14ac:dyDescent="0.25">
      <c r="A16" t="s">
        <v>119</v>
      </c>
      <c r="B16" s="4">
        <v>0.06</v>
      </c>
      <c r="C16">
        <v>1</v>
      </c>
      <c r="D16">
        <v>3</v>
      </c>
      <c r="E16" t="s">
        <v>83</v>
      </c>
      <c r="F16" t="s">
        <v>158</v>
      </c>
      <c r="G16" t="s">
        <v>91</v>
      </c>
      <c r="H16" t="s">
        <v>164</v>
      </c>
      <c r="J16" t="s">
        <v>128</v>
      </c>
      <c r="K16" t="s">
        <v>169</v>
      </c>
      <c r="L16" t="s">
        <v>176</v>
      </c>
      <c r="M16" t="s">
        <v>189</v>
      </c>
      <c r="N16" t="s">
        <v>226</v>
      </c>
      <c r="O16" s="6" t="s">
        <v>230</v>
      </c>
      <c r="P16" t="s">
        <v>242</v>
      </c>
      <c r="Q16" t="s">
        <v>278</v>
      </c>
      <c r="R16" t="s">
        <v>30</v>
      </c>
    </row>
    <row r="17" spans="1:18" x14ac:dyDescent="0.25">
      <c r="A17" t="s">
        <v>120</v>
      </c>
      <c r="B17" s="4">
        <v>7.0000000000000007E-2</v>
      </c>
      <c r="C17">
        <v>12</v>
      </c>
      <c r="D17">
        <v>13</v>
      </c>
      <c r="E17" t="s">
        <v>84</v>
      </c>
      <c r="F17" t="s">
        <v>158</v>
      </c>
      <c r="G17" t="s">
        <v>91</v>
      </c>
      <c r="H17" t="s">
        <v>165</v>
      </c>
      <c r="J17" t="s">
        <v>128</v>
      </c>
      <c r="K17" t="s">
        <v>169</v>
      </c>
      <c r="L17" t="s">
        <v>176</v>
      </c>
      <c r="M17" t="s">
        <v>190</v>
      </c>
      <c r="N17" t="s">
        <v>226</v>
      </c>
      <c r="O17" s="6" t="s">
        <v>228</v>
      </c>
      <c r="P17" t="s">
        <v>243</v>
      </c>
      <c r="Q17" t="s">
        <v>278</v>
      </c>
      <c r="R17" t="s">
        <v>31</v>
      </c>
    </row>
    <row r="18" spans="1:18" x14ac:dyDescent="0.25">
      <c r="A18" t="s">
        <v>121</v>
      </c>
      <c r="B18" s="4">
        <v>7.0000000000000007E-2</v>
      </c>
      <c r="C18">
        <v>1</v>
      </c>
      <c r="D18">
        <v>3</v>
      </c>
      <c r="E18" t="s">
        <v>84</v>
      </c>
      <c r="F18" t="s">
        <v>158</v>
      </c>
      <c r="G18" t="s">
        <v>161</v>
      </c>
      <c r="H18" t="s">
        <v>165</v>
      </c>
      <c r="J18" t="s">
        <v>128</v>
      </c>
      <c r="K18" t="s">
        <v>169</v>
      </c>
      <c r="L18" t="s">
        <v>176</v>
      </c>
      <c r="M18" t="s">
        <v>191</v>
      </c>
      <c r="N18" t="s">
        <v>226</v>
      </c>
      <c r="O18" s="6" t="s">
        <v>229</v>
      </c>
      <c r="P18" t="s">
        <v>244</v>
      </c>
      <c r="Q18" t="s">
        <v>278</v>
      </c>
      <c r="R18" t="s">
        <v>32</v>
      </c>
    </row>
    <row r="19" spans="1:18" x14ac:dyDescent="0.25">
      <c r="A19" t="s">
        <v>122</v>
      </c>
      <c r="B19" s="4">
        <v>7.0000000000000007E-2</v>
      </c>
      <c r="C19">
        <v>13</v>
      </c>
      <c r="D19">
        <v>17</v>
      </c>
      <c r="E19" t="s">
        <v>84</v>
      </c>
      <c r="F19" t="s">
        <v>158</v>
      </c>
      <c r="G19" t="s">
        <v>161</v>
      </c>
      <c r="H19" t="s">
        <v>165</v>
      </c>
      <c r="J19" t="s">
        <v>128</v>
      </c>
      <c r="K19" t="s">
        <v>170</v>
      </c>
      <c r="L19" t="s">
        <v>176</v>
      </c>
      <c r="M19" t="s">
        <v>192</v>
      </c>
      <c r="N19" t="s">
        <v>226</v>
      </c>
      <c r="O19" s="6" t="s">
        <v>230</v>
      </c>
      <c r="P19" t="s">
        <v>245</v>
      </c>
      <c r="Q19" t="s">
        <v>278</v>
      </c>
      <c r="R19" t="s">
        <v>33</v>
      </c>
    </row>
    <row r="20" spans="1:18" x14ac:dyDescent="0.25">
      <c r="A20" t="s">
        <v>123</v>
      </c>
      <c r="B20" s="4">
        <v>0.06</v>
      </c>
      <c r="C20">
        <v>1</v>
      </c>
      <c r="D20">
        <v>3</v>
      </c>
      <c r="E20" t="s">
        <v>83</v>
      </c>
      <c r="F20" t="s">
        <v>159</v>
      </c>
      <c r="G20" t="s">
        <v>161</v>
      </c>
      <c r="H20" t="s">
        <v>165</v>
      </c>
      <c r="J20" t="s">
        <v>128</v>
      </c>
      <c r="K20" t="s">
        <v>171</v>
      </c>
      <c r="L20" t="s">
        <v>176</v>
      </c>
      <c r="M20" t="s">
        <v>193</v>
      </c>
      <c r="N20" t="s">
        <v>226</v>
      </c>
      <c r="O20" s="6" t="s">
        <v>228</v>
      </c>
      <c r="P20" t="s">
        <v>246</v>
      </c>
      <c r="Q20" t="s">
        <v>279</v>
      </c>
      <c r="R20" t="s">
        <v>34</v>
      </c>
    </row>
    <row r="21" spans="1:18" x14ac:dyDescent="0.25">
      <c r="A21" t="s">
        <v>124</v>
      </c>
      <c r="B21" s="4">
        <v>0.05</v>
      </c>
      <c r="C21">
        <v>1</v>
      </c>
      <c r="D21">
        <v>1</v>
      </c>
      <c r="E21" t="s">
        <v>83</v>
      </c>
      <c r="F21" t="s">
        <v>159</v>
      </c>
      <c r="G21" t="s">
        <v>161</v>
      </c>
      <c r="H21" t="s">
        <v>165</v>
      </c>
      <c r="J21" t="s">
        <v>128</v>
      </c>
      <c r="K21" t="s">
        <v>172</v>
      </c>
      <c r="L21" t="s">
        <v>177</v>
      </c>
      <c r="M21" t="s">
        <v>194</v>
      </c>
      <c r="N21" t="s">
        <v>226</v>
      </c>
      <c r="O21" s="6" t="s">
        <v>229</v>
      </c>
      <c r="P21" t="s">
        <v>247</v>
      </c>
      <c r="Q21" t="s">
        <v>279</v>
      </c>
      <c r="R21" t="s">
        <v>35</v>
      </c>
    </row>
    <row r="22" spans="1:18" x14ac:dyDescent="0.25">
      <c r="A22" t="s">
        <v>125</v>
      </c>
      <c r="B22" s="4">
        <v>0.06</v>
      </c>
      <c r="C22">
        <v>12</v>
      </c>
      <c r="D22">
        <v>17</v>
      </c>
      <c r="E22" t="s">
        <v>84</v>
      </c>
      <c r="F22" t="s">
        <v>159</v>
      </c>
      <c r="G22" t="s">
        <v>161</v>
      </c>
      <c r="H22" t="s">
        <v>165</v>
      </c>
      <c r="J22" t="s">
        <v>128</v>
      </c>
      <c r="K22" t="s">
        <v>172</v>
      </c>
      <c r="L22" t="s">
        <v>177</v>
      </c>
      <c r="M22" t="s">
        <v>195</v>
      </c>
      <c r="N22" t="s">
        <v>226</v>
      </c>
      <c r="O22" s="6" t="s">
        <v>230</v>
      </c>
      <c r="P22" t="s">
        <v>248</v>
      </c>
      <c r="Q22" t="s">
        <v>279</v>
      </c>
      <c r="R22" t="s">
        <v>36</v>
      </c>
    </row>
    <row r="23" spans="1:18" x14ac:dyDescent="0.25">
      <c r="A23" t="s">
        <v>126</v>
      </c>
      <c r="B23" s="4">
        <v>0.32</v>
      </c>
      <c r="C23">
        <v>21</v>
      </c>
      <c r="D23">
        <v>19</v>
      </c>
      <c r="E23" t="s">
        <v>84</v>
      </c>
      <c r="F23" t="s">
        <v>159</v>
      </c>
      <c r="G23" t="s">
        <v>162</v>
      </c>
      <c r="H23" t="s">
        <v>163</v>
      </c>
      <c r="J23" t="s">
        <v>128</v>
      </c>
      <c r="K23" t="s">
        <v>172</v>
      </c>
      <c r="L23" t="s">
        <v>177</v>
      </c>
      <c r="M23" t="s">
        <v>196</v>
      </c>
      <c r="N23" t="s">
        <v>226</v>
      </c>
      <c r="O23" s="6" t="s">
        <v>228</v>
      </c>
      <c r="P23" t="s">
        <v>249</v>
      </c>
      <c r="Q23" t="s">
        <v>279</v>
      </c>
      <c r="R23" t="s">
        <v>37</v>
      </c>
    </row>
    <row r="24" spans="1:18" x14ac:dyDescent="0.25">
      <c r="A24" t="s">
        <v>127</v>
      </c>
      <c r="B24" s="4">
        <v>7.0000000000000007E-2</v>
      </c>
      <c r="C24">
        <v>12</v>
      </c>
      <c r="D24">
        <v>17</v>
      </c>
      <c r="E24" t="s">
        <v>84</v>
      </c>
      <c r="F24" t="s">
        <v>159</v>
      </c>
      <c r="G24" t="s">
        <v>162</v>
      </c>
      <c r="H24" t="s">
        <v>164</v>
      </c>
      <c r="J24" t="s">
        <v>128</v>
      </c>
      <c r="K24" t="s">
        <v>173</v>
      </c>
      <c r="L24" t="s">
        <v>177</v>
      </c>
      <c r="M24" t="s">
        <v>197</v>
      </c>
      <c r="N24" t="s">
        <v>226</v>
      </c>
      <c r="O24" s="6" t="s">
        <v>229</v>
      </c>
      <c r="P24" t="s">
        <v>250</v>
      </c>
      <c r="Q24" t="s">
        <v>279</v>
      </c>
      <c r="R24" t="s">
        <v>38</v>
      </c>
    </row>
    <row r="25" spans="1:18" x14ac:dyDescent="0.25">
      <c r="A25" t="s">
        <v>39</v>
      </c>
      <c r="B25" s="4">
        <v>0.05</v>
      </c>
      <c r="C25">
        <v>14</v>
      </c>
      <c r="D25">
        <v>16</v>
      </c>
      <c r="E25" t="s">
        <v>85</v>
      </c>
      <c r="F25" t="s">
        <v>159</v>
      </c>
      <c r="G25" t="s">
        <v>162</v>
      </c>
      <c r="H25" t="s">
        <v>164</v>
      </c>
      <c r="J25" t="s">
        <v>128</v>
      </c>
      <c r="K25" t="s">
        <v>173</v>
      </c>
      <c r="L25" t="s">
        <v>177</v>
      </c>
      <c r="M25" t="s">
        <v>198</v>
      </c>
      <c r="N25" t="s">
        <v>226</v>
      </c>
      <c r="O25" s="6" t="s">
        <v>230</v>
      </c>
      <c r="P25" t="s">
        <v>251</v>
      </c>
      <c r="Q25" t="s">
        <v>279</v>
      </c>
      <c r="R25" t="s">
        <v>39</v>
      </c>
    </row>
    <row r="26" spans="1:18" x14ac:dyDescent="0.25">
      <c r="A26" t="s">
        <v>40</v>
      </c>
      <c r="B26" s="4" t="s">
        <v>19</v>
      </c>
      <c r="C26">
        <v>29</v>
      </c>
      <c r="D26">
        <v>18</v>
      </c>
      <c r="E26" t="s">
        <v>86</v>
      </c>
      <c r="F26" t="s">
        <v>159</v>
      </c>
      <c r="G26" t="s">
        <v>162</v>
      </c>
      <c r="H26" t="s">
        <v>165</v>
      </c>
      <c r="J26" t="s">
        <v>128</v>
      </c>
      <c r="K26" t="s">
        <v>173</v>
      </c>
      <c r="L26" t="s">
        <v>177</v>
      </c>
      <c r="M26" t="s">
        <v>199</v>
      </c>
      <c r="N26" t="s">
        <v>226</v>
      </c>
      <c r="O26" s="6" t="s">
        <v>228</v>
      </c>
      <c r="P26" t="s">
        <v>252</v>
      </c>
      <c r="Q26" t="s">
        <v>279</v>
      </c>
      <c r="R26" t="s">
        <v>40</v>
      </c>
    </row>
    <row r="27" spans="1:18" x14ac:dyDescent="0.25">
      <c r="A27" t="s">
        <v>41</v>
      </c>
      <c r="B27" s="4">
        <v>0.08</v>
      </c>
      <c r="C27">
        <v>16</v>
      </c>
      <c r="D27">
        <v>17</v>
      </c>
      <c r="E27" t="s">
        <v>83</v>
      </c>
      <c r="F27" t="s">
        <v>159</v>
      </c>
      <c r="G27" t="s">
        <v>162</v>
      </c>
      <c r="H27" t="s">
        <v>165</v>
      </c>
      <c r="J27" t="s">
        <v>128</v>
      </c>
      <c r="K27" t="s">
        <v>173</v>
      </c>
      <c r="L27" t="s">
        <v>177</v>
      </c>
      <c r="M27" t="s">
        <v>200</v>
      </c>
      <c r="N27" t="s">
        <v>226</v>
      </c>
      <c r="O27" s="6" t="s">
        <v>229</v>
      </c>
      <c r="P27" t="s">
        <v>253</v>
      </c>
      <c r="Q27" t="s">
        <v>279</v>
      </c>
      <c r="R27" t="s">
        <v>41</v>
      </c>
    </row>
    <row r="28" spans="1:18" x14ac:dyDescent="0.25">
      <c r="A28" t="s">
        <v>92</v>
      </c>
      <c r="B28" s="4">
        <v>0.01</v>
      </c>
      <c r="C28">
        <v>12</v>
      </c>
      <c r="D28">
        <v>17</v>
      </c>
      <c r="E28" t="s">
        <v>83</v>
      </c>
      <c r="F28" t="s">
        <v>159</v>
      </c>
      <c r="G28" t="s">
        <v>160</v>
      </c>
      <c r="H28" t="s">
        <v>165</v>
      </c>
      <c r="J28" t="s">
        <v>128</v>
      </c>
      <c r="K28" t="s">
        <v>173</v>
      </c>
      <c r="L28" t="s">
        <v>177</v>
      </c>
      <c r="M28" t="s">
        <v>201</v>
      </c>
      <c r="N28" t="s">
        <v>226</v>
      </c>
      <c r="O28" s="6" t="s">
        <v>230</v>
      </c>
      <c r="P28" t="s">
        <v>254</v>
      </c>
      <c r="Q28" t="s">
        <v>279</v>
      </c>
      <c r="R28" t="s">
        <v>92</v>
      </c>
    </row>
    <row r="29" spans="1:18" x14ac:dyDescent="0.25">
      <c r="A29" t="s">
        <v>43</v>
      </c>
      <c r="B29" s="4">
        <v>0.28000000000000003</v>
      </c>
      <c r="C29">
        <v>36</v>
      </c>
      <c r="D29">
        <v>26</v>
      </c>
      <c r="E29" t="s">
        <v>84</v>
      </c>
      <c r="F29" t="s">
        <v>159</v>
      </c>
      <c r="G29" t="s">
        <v>160</v>
      </c>
      <c r="H29" t="s">
        <v>165</v>
      </c>
      <c r="J29" t="s">
        <v>128</v>
      </c>
      <c r="K29" t="s">
        <v>173</v>
      </c>
      <c r="L29" t="s">
        <v>177</v>
      </c>
      <c r="M29" t="s">
        <v>202</v>
      </c>
      <c r="N29" t="s">
        <v>226</v>
      </c>
      <c r="O29" s="6" t="s">
        <v>228</v>
      </c>
      <c r="P29" t="s">
        <v>255</v>
      </c>
      <c r="Q29" t="s">
        <v>279</v>
      </c>
      <c r="R29" t="s">
        <v>43</v>
      </c>
    </row>
    <row r="30" spans="1:18" x14ac:dyDescent="0.25">
      <c r="A30" t="s">
        <v>44</v>
      </c>
      <c r="B30" s="4">
        <v>0.02</v>
      </c>
      <c r="C30">
        <v>19</v>
      </c>
      <c r="D30">
        <v>24</v>
      </c>
      <c r="E30" t="s">
        <v>84</v>
      </c>
      <c r="F30" t="s">
        <v>159</v>
      </c>
      <c r="G30" t="s">
        <v>160</v>
      </c>
      <c r="H30" t="s">
        <v>165</v>
      </c>
      <c r="J30" t="s">
        <v>128</v>
      </c>
      <c r="K30" t="s">
        <v>166</v>
      </c>
      <c r="L30" t="s">
        <v>177</v>
      </c>
      <c r="M30" t="s">
        <v>203</v>
      </c>
      <c r="N30" t="s">
        <v>227</v>
      </c>
      <c r="O30" s="6" t="s">
        <v>229</v>
      </c>
      <c r="P30" t="s">
        <v>256</v>
      </c>
      <c r="Q30" t="s">
        <v>279</v>
      </c>
      <c r="R30" t="s">
        <v>44</v>
      </c>
    </row>
    <row r="31" spans="1:18" x14ac:dyDescent="0.25">
      <c r="A31" t="s">
        <v>45</v>
      </c>
      <c r="B31" s="4">
        <v>0.05</v>
      </c>
      <c r="C31">
        <v>14</v>
      </c>
      <c r="D31">
        <v>13</v>
      </c>
      <c r="E31" t="s">
        <v>84</v>
      </c>
      <c r="F31" t="s">
        <v>159</v>
      </c>
      <c r="G31" t="s">
        <v>160</v>
      </c>
      <c r="H31" t="s">
        <v>165</v>
      </c>
      <c r="J31" t="s">
        <v>128</v>
      </c>
      <c r="K31" t="s">
        <v>166</v>
      </c>
      <c r="L31" t="s">
        <v>177</v>
      </c>
      <c r="M31" t="s">
        <v>204</v>
      </c>
      <c r="N31" t="s">
        <v>227</v>
      </c>
      <c r="O31" s="6" t="s">
        <v>230</v>
      </c>
      <c r="P31" t="s">
        <v>257</v>
      </c>
      <c r="Q31" t="s">
        <v>279</v>
      </c>
      <c r="R31" t="s">
        <v>45</v>
      </c>
    </row>
    <row r="32" spans="1:18" x14ac:dyDescent="0.25">
      <c r="A32" t="s">
        <v>46</v>
      </c>
      <c r="B32" s="4">
        <v>0.48</v>
      </c>
      <c r="C32">
        <v>10</v>
      </c>
      <c r="D32">
        <v>11</v>
      </c>
      <c r="E32" t="s">
        <v>85</v>
      </c>
      <c r="F32" t="s">
        <v>159</v>
      </c>
      <c r="G32" t="s">
        <v>160</v>
      </c>
      <c r="H32" t="s">
        <v>163</v>
      </c>
      <c r="J32" t="s">
        <v>128</v>
      </c>
      <c r="K32" t="s">
        <v>166</v>
      </c>
      <c r="L32" t="s">
        <v>174</v>
      </c>
      <c r="M32" t="s">
        <v>205</v>
      </c>
      <c r="N32" t="s">
        <v>227</v>
      </c>
      <c r="O32" s="6" t="s">
        <v>228</v>
      </c>
      <c r="P32" t="s">
        <v>258</v>
      </c>
      <c r="Q32" t="s">
        <v>279</v>
      </c>
      <c r="R32" t="s">
        <v>46</v>
      </c>
    </row>
    <row r="33" spans="1:18" x14ac:dyDescent="0.25">
      <c r="A33" t="s">
        <v>47</v>
      </c>
      <c r="B33" s="4">
        <v>0.55000000000000004</v>
      </c>
      <c r="C33">
        <v>11</v>
      </c>
      <c r="D33">
        <v>14</v>
      </c>
      <c r="E33" t="s">
        <v>86</v>
      </c>
      <c r="F33" t="s">
        <v>159</v>
      </c>
      <c r="G33" t="s">
        <v>160</v>
      </c>
      <c r="H33" t="s">
        <v>164</v>
      </c>
      <c r="J33" t="s">
        <v>128</v>
      </c>
      <c r="K33" t="s">
        <v>166</v>
      </c>
      <c r="L33" t="s">
        <v>174</v>
      </c>
      <c r="M33" t="s">
        <v>206</v>
      </c>
      <c r="N33" t="s">
        <v>227</v>
      </c>
      <c r="O33" s="6" t="s">
        <v>229</v>
      </c>
      <c r="P33" t="s">
        <v>259</v>
      </c>
      <c r="Q33" t="s">
        <v>279</v>
      </c>
      <c r="R33" t="s">
        <v>47</v>
      </c>
    </row>
    <row r="34" spans="1:18" x14ac:dyDescent="0.25">
      <c r="A34" t="s">
        <v>48</v>
      </c>
      <c r="B34" s="4">
        <v>7.0000000000000007E-2</v>
      </c>
      <c r="C34">
        <v>9</v>
      </c>
      <c r="D34">
        <v>12</v>
      </c>
      <c r="E34" t="s">
        <v>83</v>
      </c>
      <c r="F34" t="s">
        <v>159</v>
      </c>
      <c r="G34" t="s">
        <v>160</v>
      </c>
      <c r="H34" t="s">
        <v>164</v>
      </c>
      <c r="J34" t="s">
        <v>128</v>
      </c>
      <c r="K34" t="s">
        <v>167</v>
      </c>
      <c r="L34" t="s">
        <v>174</v>
      </c>
      <c r="M34" t="s">
        <v>207</v>
      </c>
      <c r="N34">
        <v>20</v>
      </c>
      <c r="O34" s="6" t="s">
        <v>230</v>
      </c>
      <c r="P34" t="s">
        <v>260</v>
      </c>
      <c r="Q34" t="s">
        <v>279</v>
      </c>
      <c r="R34" t="s">
        <v>48</v>
      </c>
    </row>
    <row r="35" spans="1:18" x14ac:dyDescent="0.25">
      <c r="A35" t="s">
        <v>49</v>
      </c>
      <c r="B35" s="4">
        <v>7.0000000000000007E-2</v>
      </c>
      <c r="C35">
        <v>1</v>
      </c>
      <c r="D35">
        <v>1</v>
      </c>
      <c r="E35" t="s">
        <v>83</v>
      </c>
      <c r="F35" t="s">
        <v>159</v>
      </c>
      <c r="G35" t="s">
        <v>160</v>
      </c>
      <c r="H35" t="s">
        <v>165</v>
      </c>
      <c r="J35" t="s">
        <v>128</v>
      </c>
      <c r="K35" t="s">
        <v>167</v>
      </c>
      <c r="L35" t="s">
        <v>174</v>
      </c>
      <c r="M35" t="s">
        <v>208</v>
      </c>
      <c r="N35">
        <v>20</v>
      </c>
      <c r="O35" s="6" t="s">
        <v>228</v>
      </c>
      <c r="P35" t="s">
        <v>261</v>
      </c>
      <c r="Q35" t="s">
        <v>279</v>
      </c>
      <c r="R35" t="s">
        <v>49</v>
      </c>
    </row>
    <row r="36" spans="1:18" x14ac:dyDescent="0.25">
      <c r="A36" t="s">
        <v>50</v>
      </c>
      <c r="B36" s="4">
        <v>7.0000000000000007E-2</v>
      </c>
      <c r="C36">
        <v>13</v>
      </c>
      <c r="D36">
        <v>13</v>
      </c>
      <c r="E36" t="s">
        <v>84</v>
      </c>
      <c r="F36" t="s">
        <v>159</v>
      </c>
      <c r="G36" t="s">
        <v>91</v>
      </c>
      <c r="H36" t="s">
        <v>165</v>
      </c>
      <c r="J36" t="s">
        <v>128</v>
      </c>
      <c r="K36" t="s">
        <v>167</v>
      </c>
      <c r="L36" t="s">
        <v>174</v>
      </c>
      <c r="M36" t="s">
        <v>209</v>
      </c>
      <c r="N36">
        <v>20</v>
      </c>
      <c r="O36" s="6" t="s">
        <v>229</v>
      </c>
      <c r="P36" t="s">
        <v>262</v>
      </c>
      <c r="Q36" t="s">
        <v>279</v>
      </c>
      <c r="R36" t="s">
        <v>50</v>
      </c>
    </row>
    <row r="37" spans="1:18" x14ac:dyDescent="0.25">
      <c r="A37" t="s">
        <v>93</v>
      </c>
      <c r="B37" s="4">
        <v>0.38</v>
      </c>
      <c r="C37">
        <v>6</v>
      </c>
      <c r="D37">
        <v>8</v>
      </c>
      <c r="E37" t="s">
        <v>84</v>
      </c>
      <c r="F37" t="s">
        <v>159</v>
      </c>
      <c r="G37" t="s">
        <v>91</v>
      </c>
      <c r="H37" t="s">
        <v>165</v>
      </c>
      <c r="J37" t="s">
        <v>128</v>
      </c>
      <c r="K37" t="s">
        <v>168</v>
      </c>
      <c r="L37" t="s">
        <v>175</v>
      </c>
      <c r="M37" t="s">
        <v>210</v>
      </c>
      <c r="N37">
        <v>20</v>
      </c>
      <c r="O37" s="6" t="s">
        <v>230</v>
      </c>
      <c r="P37" t="s">
        <v>263</v>
      </c>
      <c r="Q37" t="s">
        <v>279</v>
      </c>
      <c r="R37" t="s">
        <v>93</v>
      </c>
    </row>
    <row r="38" spans="1:18" x14ac:dyDescent="0.25">
      <c r="A38" t="s">
        <v>94</v>
      </c>
      <c r="B38" s="4">
        <v>0.03</v>
      </c>
      <c r="C38">
        <v>19</v>
      </c>
      <c r="D38">
        <v>23</v>
      </c>
      <c r="E38" t="s">
        <v>84</v>
      </c>
      <c r="F38" t="s">
        <v>159</v>
      </c>
      <c r="G38" t="s">
        <v>91</v>
      </c>
      <c r="H38" t="s">
        <v>165</v>
      </c>
      <c r="J38" t="s">
        <v>128</v>
      </c>
      <c r="K38" t="s">
        <v>168</v>
      </c>
      <c r="L38" t="s">
        <v>175</v>
      </c>
      <c r="M38" t="s">
        <v>211</v>
      </c>
      <c r="N38">
        <v>20</v>
      </c>
      <c r="O38" s="6" t="s">
        <v>228</v>
      </c>
      <c r="P38" t="s">
        <v>264</v>
      </c>
      <c r="Q38" t="s">
        <v>279</v>
      </c>
      <c r="R38" t="s">
        <v>94</v>
      </c>
    </row>
    <row r="39" spans="1:18" x14ac:dyDescent="0.25">
      <c r="A39" t="s">
        <v>95</v>
      </c>
      <c r="B39" s="4">
        <v>0.06</v>
      </c>
      <c r="C39">
        <v>12</v>
      </c>
      <c r="D39">
        <v>18</v>
      </c>
      <c r="E39" t="s">
        <v>85</v>
      </c>
      <c r="F39" t="s">
        <v>159</v>
      </c>
      <c r="G39" t="s">
        <v>91</v>
      </c>
      <c r="H39" t="s">
        <v>165</v>
      </c>
      <c r="J39" t="s">
        <v>128</v>
      </c>
      <c r="K39" t="s">
        <v>168</v>
      </c>
      <c r="L39" t="s">
        <v>175</v>
      </c>
      <c r="M39" t="s">
        <v>212</v>
      </c>
      <c r="N39">
        <v>20</v>
      </c>
      <c r="O39" s="6" t="s">
        <v>229</v>
      </c>
      <c r="P39" t="s">
        <v>265</v>
      </c>
      <c r="Q39" t="s">
        <v>279</v>
      </c>
      <c r="R39" t="s">
        <v>95</v>
      </c>
    </row>
    <row r="40" spans="1:18" x14ac:dyDescent="0.25">
      <c r="A40" t="s">
        <v>96</v>
      </c>
      <c r="B40" s="4">
        <v>0.15</v>
      </c>
      <c r="C40">
        <v>5</v>
      </c>
      <c r="D40">
        <v>6</v>
      </c>
      <c r="E40" t="s">
        <v>86</v>
      </c>
      <c r="F40" t="s">
        <v>159</v>
      </c>
      <c r="G40" t="s">
        <v>91</v>
      </c>
      <c r="H40" t="s">
        <v>165</v>
      </c>
      <c r="J40" t="s">
        <v>128</v>
      </c>
      <c r="K40" t="s">
        <v>168</v>
      </c>
      <c r="L40" t="s">
        <v>175</v>
      </c>
      <c r="M40" t="s">
        <v>213</v>
      </c>
      <c r="N40">
        <v>20</v>
      </c>
      <c r="O40" s="6" t="s">
        <v>230</v>
      </c>
      <c r="P40" t="s">
        <v>266</v>
      </c>
      <c r="Q40" t="s">
        <v>279</v>
      </c>
      <c r="R40" t="s">
        <v>96</v>
      </c>
    </row>
    <row r="41" spans="1:18" x14ac:dyDescent="0.25">
      <c r="A41" t="s">
        <v>97</v>
      </c>
      <c r="B41" s="4" t="s">
        <v>19</v>
      </c>
      <c r="C41">
        <v>90</v>
      </c>
      <c r="D41">
        <v>44</v>
      </c>
      <c r="E41" t="s">
        <v>83</v>
      </c>
      <c r="F41" t="s">
        <v>159</v>
      </c>
      <c r="G41" t="s">
        <v>161</v>
      </c>
      <c r="H41" t="s">
        <v>163</v>
      </c>
      <c r="J41" t="s">
        <v>128</v>
      </c>
      <c r="K41" t="s">
        <v>169</v>
      </c>
      <c r="L41" t="s">
        <v>175</v>
      </c>
      <c r="M41" t="s">
        <v>214</v>
      </c>
      <c r="N41">
        <v>20</v>
      </c>
      <c r="O41" s="6" t="s">
        <v>228</v>
      </c>
      <c r="P41" t="s">
        <v>267</v>
      </c>
      <c r="Q41" t="s">
        <v>279</v>
      </c>
      <c r="R41">
        <v>0</v>
      </c>
    </row>
    <row r="42" spans="1:18" x14ac:dyDescent="0.25">
      <c r="A42" t="s">
        <v>98</v>
      </c>
      <c r="B42" s="4">
        <v>0.36</v>
      </c>
      <c r="C42">
        <v>41</v>
      </c>
      <c r="D42">
        <v>33</v>
      </c>
      <c r="E42" t="s">
        <v>84</v>
      </c>
      <c r="F42" t="s">
        <v>159</v>
      </c>
      <c r="G42" t="s">
        <v>161</v>
      </c>
      <c r="H42" t="s">
        <v>164</v>
      </c>
      <c r="J42" t="s">
        <v>128</v>
      </c>
      <c r="K42" t="s">
        <v>169</v>
      </c>
      <c r="L42" t="s">
        <v>176</v>
      </c>
      <c r="M42" t="s">
        <v>215</v>
      </c>
      <c r="N42">
        <v>20</v>
      </c>
      <c r="O42" s="6" t="s">
        <v>229</v>
      </c>
      <c r="P42" t="s">
        <v>268</v>
      </c>
      <c r="Q42" t="s">
        <v>279</v>
      </c>
      <c r="R42">
        <v>0</v>
      </c>
    </row>
    <row r="43" spans="1:18" x14ac:dyDescent="0.25">
      <c r="A43" t="s">
        <v>99</v>
      </c>
      <c r="B43" s="4">
        <v>0.03</v>
      </c>
      <c r="C43">
        <v>7</v>
      </c>
      <c r="D43">
        <v>7</v>
      </c>
      <c r="E43" t="s">
        <v>84</v>
      </c>
      <c r="F43" t="s">
        <v>159</v>
      </c>
      <c r="G43" t="s">
        <v>161</v>
      </c>
      <c r="H43" t="s">
        <v>164</v>
      </c>
      <c r="J43" t="s">
        <v>128</v>
      </c>
      <c r="K43" t="s">
        <v>169</v>
      </c>
      <c r="L43" t="s">
        <v>176</v>
      </c>
      <c r="M43" t="s">
        <v>216</v>
      </c>
      <c r="N43">
        <v>20</v>
      </c>
      <c r="O43" s="6" t="s">
        <v>230</v>
      </c>
      <c r="P43" t="s">
        <v>269</v>
      </c>
      <c r="Q43" t="s">
        <v>279</v>
      </c>
      <c r="R43">
        <v>0</v>
      </c>
    </row>
    <row r="44" spans="1:18" x14ac:dyDescent="0.25">
      <c r="A44" t="s">
        <v>100</v>
      </c>
      <c r="B44" s="4">
        <v>0.21</v>
      </c>
      <c r="C44">
        <v>9</v>
      </c>
      <c r="D44">
        <v>12</v>
      </c>
      <c r="E44" t="s">
        <v>84</v>
      </c>
      <c r="F44" t="s">
        <v>159</v>
      </c>
      <c r="G44" t="s">
        <v>161</v>
      </c>
      <c r="H44" t="s">
        <v>165</v>
      </c>
      <c r="J44" t="s">
        <v>128</v>
      </c>
      <c r="K44" t="s">
        <v>170</v>
      </c>
      <c r="L44" t="s">
        <v>176</v>
      </c>
      <c r="M44" t="s">
        <v>217</v>
      </c>
      <c r="N44">
        <v>20</v>
      </c>
      <c r="O44" s="6" t="s">
        <v>228</v>
      </c>
      <c r="P44" t="s">
        <v>270</v>
      </c>
      <c r="Q44" t="s">
        <v>279</v>
      </c>
      <c r="R44">
        <v>0</v>
      </c>
    </row>
    <row r="45" spans="1:18" x14ac:dyDescent="0.25">
      <c r="A45" t="s">
        <v>101</v>
      </c>
      <c r="B45" s="4">
        <v>0.01</v>
      </c>
      <c r="C45">
        <v>57</v>
      </c>
      <c r="D45">
        <v>21</v>
      </c>
      <c r="E45" t="s">
        <v>83</v>
      </c>
      <c r="F45" t="s">
        <v>159</v>
      </c>
      <c r="G45" t="s">
        <v>161</v>
      </c>
      <c r="H45" t="s">
        <v>165</v>
      </c>
      <c r="J45" t="s">
        <v>128</v>
      </c>
      <c r="K45" t="s">
        <v>171</v>
      </c>
      <c r="L45" t="s">
        <v>176</v>
      </c>
      <c r="M45" t="s">
        <v>218</v>
      </c>
      <c r="N45">
        <v>20</v>
      </c>
      <c r="O45" s="6" t="s">
        <v>229</v>
      </c>
      <c r="P45" t="s">
        <v>271</v>
      </c>
      <c r="Q45" t="s">
        <v>279</v>
      </c>
      <c r="R45">
        <v>0</v>
      </c>
    </row>
    <row r="46" spans="1:18" x14ac:dyDescent="0.25">
      <c r="A46" t="s">
        <v>102</v>
      </c>
      <c r="B46" s="4">
        <v>0.04</v>
      </c>
      <c r="C46">
        <v>30</v>
      </c>
      <c r="D46">
        <v>18</v>
      </c>
      <c r="E46" t="s">
        <v>83</v>
      </c>
      <c r="F46" t="s">
        <v>159</v>
      </c>
      <c r="G46" t="s">
        <v>162</v>
      </c>
      <c r="H46" t="s">
        <v>165</v>
      </c>
      <c r="J46" t="s">
        <v>128</v>
      </c>
      <c r="K46" t="s">
        <v>172</v>
      </c>
      <c r="L46" t="s">
        <v>176</v>
      </c>
      <c r="M46" t="s">
        <v>219</v>
      </c>
      <c r="N46">
        <v>20</v>
      </c>
      <c r="O46" s="6" t="s">
        <v>230</v>
      </c>
      <c r="P46" t="s">
        <v>272</v>
      </c>
      <c r="Q46" t="s">
        <v>279</v>
      </c>
      <c r="R46">
        <v>0</v>
      </c>
    </row>
    <row r="47" spans="1:18" x14ac:dyDescent="0.25">
      <c r="A47" t="s">
        <v>103</v>
      </c>
      <c r="B47" s="4">
        <v>0.02</v>
      </c>
      <c r="C47">
        <v>36</v>
      </c>
      <c r="D47">
        <v>28</v>
      </c>
      <c r="E47" t="s">
        <v>84</v>
      </c>
      <c r="F47" t="s">
        <v>159</v>
      </c>
      <c r="G47" t="s">
        <v>162</v>
      </c>
      <c r="H47" t="s">
        <v>165</v>
      </c>
      <c r="J47" t="s">
        <v>128</v>
      </c>
      <c r="K47" t="s">
        <v>172</v>
      </c>
      <c r="L47" t="s">
        <v>176</v>
      </c>
      <c r="M47" t="s">
        <v>220</v>
      </c>
      <c r="N47">
        <v>20</v>
      </c>
      <c r="O47" s="6" t="s">
        <v>228</v>
      </c>
      <c r="P47" t="s">
        <v>273</v>
      </c>
      <c r="Q47" t="s">
        <v>279</v>
      </c>
      <c r="R47">
        <v>0</v>
      </c>
    </row>
    <row r="48" spans="1:18" x14ac:dyDescent="0.25">
      <c r="A48" t="s">
        <v>104</v>
      </c>
      <c r="B48" s="4">
        <v>0.01</v>
      </c>
      <c r="C48">
        <v>76</v>
      </c>
      <c r="D48">
        <v>31</v>
      </c>
      <c r="E48" t="s">
        <v>84</v>
      </c>
      <c r="F48" t="s">
        <v>159</v>
      </c>
      <c r="G48" t="s">
        <v>162</v>
      </c>
      <c r="H48" t="s">
        <v>165</v>
      </c>
      <c r="J48" t="s">
        <v>128</v>
      </c>
      <c r="K48" t="s">
        <v>172</v>
      </c>
      <c r="L48" t="s">
        <v>177</v>
      </c>
      <c r="M48" t="s">
        <v>221</v>
      </c>
      <c r="N48">
        <v>20</v>
      </c>
      <c r="O48" s="6" t="s">
        <v>229</v>
      </c>
      <c r="P48" t="s">
        <v>274</v>
      </c>
      <c r="Q48" t="s">
        <v>279</v>
      </c>
      <c r="R48">
        <v>0</v>
      </c>
    </row>
    <row r="49" spans="1:18" x14ac:dyDescent="0.25">
      <c r="A49" t="s">
        <v>105</v>
      </c>
      <c r="B49" s="4">
        <v>0.47</v>
      </c>
      <c r="C49">
        <v>42</v>
      </c>
      <c r="D49">
        <v>31</v>
      </c>
      <c r="E49" t="s">
        <v>84</v>
      </c>
      <c r="F49" t="s">
        <v>159</v>
      </c>
      <c r="G49" t="s">
        <v>162</v>
      </c>
      <c r="H49" t="s">
        <v>165</v>
      </c>
      <c r="J49" t="s">
        <v>128</v>
      </c>
      <c r="K49" t="s">
        <v>173</v>
      </c>
      <c r="L49" t="s">
        <v>177</v>
      </c>
      <c r="M49" t="s">
        <v>222</v>
      </c>
      <c r="N49">
        <v>20</v>
      </c>
      <c r="O49" s="6" t="s">
        <v>230</v>
      </c>
      <c r="P49" t="s">
        <v>275</v>
      </c>
      <c r="Q49" t="s">
        <v>279</v>
      </c>
      <c r="R49">
        <v>0</v>
      </c>
    </row>
    <row r="50" spans="1:18" x14ac:dyDescent="0.25">
      <c r="A50" t="s">
        <v>106</v>
      </c>
      <c r="B50" s="4">
        <v>0.11</v>
      </c>
      <c r="C50">
        <v>91</v>
      </c>
      <c r="D50">
        <v>45</v>
      </c>
      <c r="E50" t="s">
        <v>85</v>
      </c>
      <c r="F50" t="s">
        <v>159</v>
      </c>
      <c r="G50" t="s">
        <v>162</v>
      </c>
      <c r="H50" t="s">
        <v>163</v>
      </c>
      <c r="J50" t="s">
        <v>128</v>
      </c>
      <c r="K50" t="s">
        <v>173</v>
      </c>
      <c r="L50" t="s">
        <v>177</v>
      </c>
      <c r="M50" t="s">
        <v>223</v>
      </c>
      <c r="N50">
        <v>20</v>
      </c>
      <c r="O50" s="6" t="s">
        <v>230</v>
      </c>
      <c r="P50" t="s">
        <v>275</v>
      </c>
      <c r="Q50" t="s">
        <v>279</v>
      </c>
      <c r="R50">
        <v>0</v>
      </c>
    </row>
    <row r="51" spans="1:18" x14ac:dyDescent="0.25">
      <c r="A51" t="s">
        <v>107</v>
      </c>
      <c r="B51" s="4">
        <v>0.09</v>
      </c>
      <c r="C51">
        <v>12</v>
      </c>
      <c r="D51">
        <v>14</v>
      </c>
      <c r="E51" t="s">
        <v>86</v>
      </c>
      <c r="F51" t="s">
        <v>159</v>
      </c>
      <c r="G51" t="s">
        <v>162</v>
      </c>
      <c r="H51" t="s">
        <v>163</v>
      </c>
      <c r="J51" t="s">
        <v>128</v>
      </c>
      <c r="K51" t="s">
        <v>173</v>
      </c>
      <c r="L51" t="s">
        <v>177</v>
      </c>
      <c r="M51" t="s">
        <v>224</v>
      </c>
      <c r="N51">
        <v>20</v>
      </c>
      <c r="O51" s="6" t="s">
        <v>230</v>
      </c>
      <c r="P51" t="s">
        <v>275</v>
      </c>
      <c r="Q51" t="s">
        <v>279</v>
      </c>
      <c r="R51">
        <v>0</v>
      </c>
    </row>
    <row r="52" spans="1:18" x14ac:dyDescent="0.25">
      <c r="A52" t="s">
        <v>130</v>
      </c>
      <c r="B52" s="4"/>
      <c r="O52" s="6"/>
    </row>
    <row r="53" spans="1:18" x14ac:dyDescent="0.25">
      <c r="A53" t="s">
        <v>131</v>
      </c>
      <c r="B53" s="4"/>
      <c r="O53" s="6"/>
    </row>
    <row r="54" spans="1:18" x14ac:dyDescent="0.25">
      <c r="A54" t="s">
        <v>132</v>
      </c>
      <c r="B54" s="4"/>
      <c r="O54" s="6"/>
    </row>
    <row r="55" spans="1:18" x14ac:dyDescent="0.25">
      <c r="A55" t="s">
        <v>133</v>
      </c>
      <c r="B55" s="4"/>
      <c r="O55" s="6"/>
    </row>
    <row r="56" spans="1:18" x14ac:dyDescent="0.25">
      <c r="A56" t="s">
        <v>134</v>
      </c>
      <c r="B56" s="4"/>
      <c r="O56" s="6"/>
    </row>
    <row r="57" spans="1:18" x14ac:dyDescent="0.25">
      <c r="A57" t="s">
        <v>135</v>
      </c>
      <c r="B57" s="4"/>
      <c r="O57" s="6"/>
    </row>
    <row r="58" spans="1:18" x14ac:dyDescent="0.25">
      <c r="A58" t="s">
        <v>136</v>
      </c>
      <c r="B58" s="4"/>
      <c r="O58" s="6"/>
    </row>
    <row r="59" spans="1:18" x14ac:dyDescent="0.25">
      <c r="A59" t="s">
        <v>137</v>
      </c>
      <c r="B59" s="4"/>
      <c r="O59" s="6"/>
    </row>
    <row r="60" spans="1:18" x14ac:dyDescent="0.25">
      <c r="A60" t="s">
        <v>138</v>
      </c>
      <c r="B60" s="4"/>
      <c r="O60" s="6"/>
    </row>
    <row r="61" spans="1:18" x14ac:dyDescent="0.25">
      <c r="A61" t="s">
        <v>139</v>
      </c>
      <c r="B61" s="4"/>
      <c r="O61" s="6"/>
    </row>
    <row r="62" spans="1:18" x14ac:dyDescent="0.25">
      <c r="A62" t="s">
        <v>140</v>
      </c>
      <c r="B62" s="4"/>
      <c r="O62" s="6"/>
    </row>
    <row r="63" spans="1:18" x14ac:dyDescent="0.25">
      <c r="A63" t="s">
        <v>141</v>
      </c>
      <c r="B63" s="4"/>
      <c r="O63" s="6"/>
    </row>
    <row r="64" spans="1:18" x14ac:dyDescent="0.25">
      <c r="A64" t="s">
        <v>142</v>
      </c>
      <c r="B64" s="4"/>
      <c r="O64" s="6"/>
    </row>
    <row r="65" spans="1:15" x14ac:dyDescent="0.25">
      <c r="A65" t="s">
        <v>143</v>
      </c>
      <c r="B65" s="4"/>
      <c r="O65" s="6"/>
    </row>
    <row r="66" spans="1:15" x14ac:dyDescent="0.25">
      <c r="A66" t="s">
        <v>144</v>
      </c>
      <c r="B66" s="4"/>
      <c r="O66" s="6"/>
    </row>
    <row r="67" spans="1:15" x14ac:dyDescent="0.25">
      <c r="A67" t="s">
        <v>145</v>
      </c>
      <c r="B67" s="4"/>
      <c r="O67" s="6"/>
    </row>
    <row r="68" spans="1:15" x14ac:dyDescent="0.25">
      <c r="A68" t="s">
        <v>146</v>
      </c>
      <c r="B68" s="4"/>
      <c r="O68" s="6"/>
    </row>
    <row r="69" spans="1:15" x14ac:dyDescent="0.25">
      <c r="A69" t="s">
        <v>147</v>
      </c>
      <c r="B69" s="4"/>
      <c r="O69" s="6"/>
    </row>
    <row r="70" spans="1:15" x14ac:dyDescent="0.25">
      <c r="A70" t="s">
        <v>148</v>
      </c>
      <c r="B70" s="4"/>
      <c r="O70" s="6"/>
    </row>
    <row r="71" spans="1:15" x14ac:dyDescent="0.25">
      <c r="A71" t="s">
        <v>149</v>
      </c>
      <c r="B71" s="4"/>
      <c r="O71" s="6"/>
    </row>
    <row r="72" spans="1:15" x14ac:dyDescent="0.25">
      <c r="A72" t="s">
        <v>150</v>
      </c>
      <c r="B72" s="4"/>
      <c r="O72" s="6"/>
    </row>
    <row r="73" spans="1:15" x14ac:dyDescent="0.25">
      <c r="A73" t="s">
        <v>151</v>
      </c>
      <c r="B73" s="4"/>
      <c r="O73" s="6"/>
    </row>
    <row r="74" spans="1:15" x14ac:dyDescent="0.25">
      <c r="A74" t="s">
        <v>152</v>
      </c>
      <c r="B74" s="4"/>
      <c r="O74" s="6"/>
    </row>
    <row r="75" spans="1:15" x14ac:dyDescent="0.25">
      <c r="A75" t="s">
        <v>153</v>
      </c>
      <c r="B75" s="4"/>
      <c r="O75" s="6"/>
    </row>
    <row r="76" spans="1:15" x14ac:dyDescent="0.25">
      <c r="A76" t="s">
        <v>154</v>
      </c>
      <c r="B76" s="4"/>
      <c r="O76" s="6"/>
    </row>
    <row r="77" spans="1:15" x14ac:dyDescent="0.25">
      <c r="A77" t="s">
        <v>155</v>
      </c>
      <c r="B77" s="4"/>
      <c r="O77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R77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 x14ac:dyDescent="0.25"/>
  <cols>
    <col min="1" max="1" width="57.140625" bestFit="1" customWidth="1"/>
    <col min="2" max="2" width="16.5703125" bestFit="1" customWidth="1"/>
    <col min="3" max="4" width="7.85546875" customWidth="1"/>
    <col min="5" max="5" width="7" customWidth="1"/>
    <col min="6" max="6" width="13.85546875" bestFit="1" customWidth="1"/>
    <col min="7" max="7" width="13.7109375" bestFit="1" customWidth="1"/>
    <col min="8" max="8" width="13.42578125" bestFit="1" customWidth="1"/>
    <col min="9" max="9" width="10" bestFit="1" customWidth="1"/>
    <col min="10" max="10" width="12.140625" bestFit="1" customWidth="1"/>
    <col min="11" max="11" width="15.42578125" bestFit="1" customWidth="1"/>
    <col min="12" max="12" width="13.28515625" bestFit="1" customWidth="1"/>
    <col min="13" max="13" width="64.42578125" bestFit="1" customWidth="1"/>
    <col min="14" max="14" width="6" bestFit="1" customWidth="1"/>
    <col min="15" max="15" width="14.42578125" bestFit="1" customWidth="1"/>
    <col min="16" max="16" width="63.7109375" bestFit="1" customWidth="1"/>
    <col min="17" max="17" width="23.42578125" bestFit="1" customWidth="1"/>
    <col min="18" max="18" width="46.85546875" bestFit="1" customWidth="1"/>
  </cols>
  <sheetData>
    <row r="3" spans="1:18" x14ac:dyDescent="0.25">
      <c r="A3" t="s">
        <v>282</v>
      </c>
    </row>
    <row r="4" spans="1:18" x14ac:dyDescent="0.25">
      <c r="A4" s="2" t="s">
        <v>3</v>
      </c>
      <c r="B4" s="1" t="s">
        <v>4</v>
      </c>
      <c r="C4" s="1" t="s">
        <v>5</v>
      </c>
      <c r="D4" s="1" t="s">
        <v>6</v>
      </c>
      <c r="E4" s="1" t="s">
        <v>2</v>
      </c>
      <c r="F4" s="1" t="s">
        <v>7</v>
      </c>
      <c r="G4" s="1" t="s">
        <v>8</v>
      </c>
      <c r="H4" s="1" t="s">
        <v>9</v>
      </c>
      <c r="I4" s="9" t="s">
        <v>284</v>
      </c>
      <c r="J4" s="1" t="s">
        <v>10</v>
      </c>
      <c r="K4" s="1" t="s">
        <v>11</v>
      </c>
      <c r="L4" s="1" t="s">
        <v>12</v>
      </c>
      <c r="M4" s="2" t="s">
        <v>13</v>
      </c>
      <c r="N4" s="2" t="s">
        <v>14</v>
      </c>
      <c r="O4" s="3" t="s">
        <v>15</v>
      </c>
      <c r="P4" s="1" t="s">
        <v>16</v>
      </c>
      <c r="Q4" s="1" t="s">
        <v>17</v>
      </c>
      <c r="R4" s="1" t="s">
        <v>280</v>
      </c>
    </row>
    <row r="5" spans="1:18" x14ac:dyDescent="0.25">
      <c r="A5" t="s">
        <v>108</v>
      </c>
      <c r="B5" s="11">
        <v>0.28000000000000003</v>
      </c>
      <c r="C5" s="10">
        <v>53</v>
      </c>
      <c r="D5" s="10">
        <v>30</v>
      </c>
      <c r="E5" s="10" t="s">
        <v>83</v>
      </c>
      <c r="F5" s="10" t="s">
        <v>156</v>
      </c>
      <c r="G5" s="10" t="s">
        <v>160</v>
      </c>
      <c r="H5" s="10" t="s">
        <v>163</v>
      </c>
      <c r="I5" s="10">
        <v>0</v>
      </c>
      <c r="J5" s="10" t="s">
        <v>128</v>
      </c>
      <c r="K5" s="10" t="s">
        <v>285</v>
      </c>
      <c r="L5" s="10" t="s">
        <v>174</v>
      </c>
      <c r="M5" s="10" t="s">
        <v>178</v>
      </c>
      <c r="N5" s="10" t="s">
        <v>225</v>
      </c>
      <c r="O5" s="12" t="s">
        <v>228</v>
      </c>
      <c r="P5" s="10" t="s">
        <v>231</v>
      </c>
      <c r="Q5" s="10" t="s">
        <v>276</v>
      </c>
      <c r="R5" s="10" t="s">
        <v>18</v>
      </c>
    </row>
    <row r="6" spans="1:18" x14ac:dyDescent="0.25">
      <c r="A6" t="s">
        <v>109</v>
      </c>
      <c r="B6" s="11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2"/>
      <c r="P6" s="10"/>
      <c r="Q6" s="10"/>
      <c r="R6" s="10"/>
    </row>
    <row r="7" spans="1:18" x14ac:dyDescent="0.25">
      <c r="A7" t="s">
        <v>110</v>
      </c>
      <c r="B7" s="11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2"/>
      <c r="P7" s="10"/>
      <c r="Q7" s="10"/>
      <c r="R7" s="10"/>
    </row>
    <row r="8" spans="1:18" x14ac:dyDescent="0.25">
      <c r="A8" t="s">
        <v>111</v>
      </c>
      <c r="B8" s="11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2"/>
      <c r="P8" s="10"/>
      <c r="Q8" s="10"/>
      <c r="R8" s="10"/>
    </row>
    <row r="9" spans="1:18" x14ac:dyDescent="0.25">
      <c r="A9" t="s">
        <v>112</v>
      </c>
      <c r="B9" s="11">
        <v>0.52</v>
      </c>
      <c r="C9" s="10">
        <v>1</v>
      </c>
      <c r="D9" s="10">
        <v>27</v>
      </c>
      <c r="E9" s="10" t="s">
        <v>84</v>
      </c>
      <c r="F9" s="10" t="s">
        <v>156</v>
      </c>
      <c r="G9" s="10" t="s">
        <v>160</v>
      </c>
      <c r="H9" s="10" t="s">
        <v>165</v>
      </c>
      <c r="I9" s="10">
        <v>0</v>
      </c>
      <c r="J9" s="10" t="s">
        <v>128</v>
      </c>
      <c r="K9" s="10" t="s">
        <v>167</v>
      </c>
      <c r="L9" s="10" t="s">
        <v>174</v>
      </c>
      <c r="M9" s="10" t="s">
        <v>182</v>
      </c>
      <c r="N9" s="10" t="s">
        <v>225</v>
      </c>
      <c r="O9" s="12" t="s">
        <v>229</v>
      </c>
      <c r="P9" s="10" t="s">
        <v>235</v>
      </c>
      <c r="Q9" s="10" t="s">
        <v>276</v>
      </c>
      <c r="R9" s="10" t="s">
        <v>23</v>
      </c>
    </row>
    <row r="10" spans="1:18" x14ac:dyDescent="0.25">
      <c r="A10" t="s">
        <v>113</v>
      </c>
      <c r="B10" s="11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2"/>
      <c r="P10" s="10"/>
      <c r="Q10" s="10"/>
      <c r="R10" s="10"/>
    </row>
    <row r="11" spans="1:18" x14ac:dyDescent="0.25">
      <c r="A11" t="s">
        <v>114</v>
      </c>
      <c r="B11" s="11">
        <v>7.0000000000000007E-2</v>
      </c>
      <c r="C11" s="10">
        <v>6</v>
      </c>
      <c r="D11" s="10">
        <v>12</v>
      </c>
      <c r="E11" s="10" t="s">
        <v>83</v>
      </c>
      <c r="F11" s="10" t="s">
        <v>156</v>
      </c>
      <c r="G11" s="10" t="s">
        <v>160</v>
      </c>
      <c r="H11" s="10" t="s">
        <v>165</v>
      </c>
      <c r="I11" s="10">
        <v>0</v>
      </c>
      <c r="J11" s="10" t="s">
        <v>128</v>
      </c>
      <c r="K11" s="10" t="s">
        <v>167</v>
      </c>
      <c r="L11" s="10" t="s">
        <v>175</v>
      </c>
      <c r="M11" s="10" t="s">
        <v>184</v>
      </c>
      <c r="N11" s="10" t="s">
        <v>225</v>
      </c>
      <c r="O11" s="12" t="s">
        <v>228</v>
      </c>
      <c r="P11" s="10" t="s">
        <v>237</v>
      </c>
      <c r="Q11" s="10" t="s">
        <v>277</v>
      </c>
      <c r="R11" s="10" t="s">
        <v>25</v>
      </c>
    </row>
    <row r="12" spans="1:18" x14ac:dyDescent="0.25">
      <c r="A12" t="s">
        <v>115</v>
      </c>
      <c r="B12" s="11">
        <v>7.0000000000000007E-2</v>
      </c>
      <c r="C12" s="10">
        <v>11</v>
      </c>
      <c r="D12" s="10">
        <v>12</v>
      </c>
      <c r="E12" s="10" t="s">
        <v>84</v>
      </c>
      <c r="F12" s="10" t="s">
        <v>156</v>
      </c>
      <c r="G12" s="10" t="s">
        <v>160</v>
      </c>
      <c r="H12" s="10" t="s">
        <v>165</v>
      </c>
      <c r="I12" s="10">
        <v>0</v>
      </c>
      <c r="J12" s="10" t="s">
        <v>128</v>
      </c>
      <c r="K12" s="10" t="s">
        <v>168</v>
      </c>
      <c r="L12" s="10" t="s">
        <v>175</v>
      </c>
      <c r="M12" s="10" t="s">
        <v>185</v>
      </c>
      <c r="N12" s="10" t="s">
        <v>225</v>
      </c>
      <c r="O12" s="12" t="s">
        <v>229</v>
      </c>
      <c r="P12" s="10" t="s">
        <v>238</v>
      </c>
      <c r="Q12" s="10" t="s">
        <v>278</v>
      </c>
      <c r="R12" s="10" t="s">
        <v>26</v>
      </c>
    </row>
    <row r="13" spans="1:18" x14ac:dyDescent="0.25">
      <c r="A13" t="s">
        <v>116</v>
      </c>
      <c r="B13" s="11">
        <v>7.0000000000000007E-2</v>
      </c>
      <c r="C13" s="10">
        <v>11</v>
      </c>
      <c r="D13" s="10">
        <v>11</v>
      </c>
      <c r="E13" s="10" t="s">
        <v>84</v>
      </c>
      <c r="F13" s="10" t="s">
        <v>157</v>
      </c>
      <c r="G13" s="10" t="s">
        <v>91</v>
      </c>
      <c r="H13" s="10" t="s">
        <v>165</v>
      </c>
      <c r="I13" s="10">
        <v>0</v>
      </c>
      <c r="J13" s="10" t="s">
        <v>128</v>
      </c>
      <c r="K13" s="10" t="s">
        <v>168</v>
      </c>
      <c r="L13" s="10" t="s">
        <v>175</v>
      </c>
      <c r="M13" s="10" t="s">
        <v>186</v>
      </c>
      <c r="N13" s="10" t="s">
        <v>225</v>
      </c>
      <c r="O13" s="12" t="s">
        <v>230</v>
      </c>
      <c r="P13" s="10" t="s">
        <v>239</v>
      </c>
      <c r="Q13" s="10" t="s">
        <v>278</v>
      </c>
      <c r="R13" s="10" t="s">
        <v>27</v>
      </c>
    </row>
    <row r="14" spans="1:18" x14ac:dyDescent="0.25">
      <c r="A14" t="s">
        <v>117</v>
      </c>
      <c r="B14" s="11">
        <v>0.08</v>
      </c>
      <c r="C14" s="10">
        <v>11</v>
      </c>
      <c r="D14" s="10">
        <v>11</v>
      </c>
      <c r="E14" s="10" t="s">
        <v>84</v>
      </c>
      <c r="F14" s="10" t="s">
        <v>157</v>
      </c>
      <c r="G14" s="10" t="s">
        <v>91</v>
      </c>
      <c r="H14" s="10" t="s">
        <v>163</v>
      </c>
      <c r="I14" s="10">
        <v>0</v>
      </c>
      <c r="J14" s="10" t="s">
        <v>128</v>
      </c>
      <c r="K14" s="10" t="s">
        <v>168</v>
      </c>
      <c r="L14" s="10" t="s">
        <v>175</v>
      </c>
      <c r="M14" s="10" t="s">
        <v>187</v>
      </c>
      <c r="N14" s="10" t="s">
        <v>226</v>
      </c>
      <c r="O14" s="12" t="s">
        <v>228</v>
      </c>
      <c r="P14" s="10" t="s">
        <v>240</v>
      </c>
      <c r="Q14" s="10" t="s">
        <v>278</v>
      </c>
      <c r="R14" s="10" t="s">
        <v>28</v>
      </c>
    </row>
    <row r="15" spans="1:18" x14ac:dyDescent="0.25">
      <c r="A15" t="s">
        <v>118</v>
      </c>
      <c r="B15" s="11">
        <v>7.0000000000000007E-2</v>
      </c>
      <c r="C15" s="10">
        <v>12</v>
      </c>
      <c r="D15" s="10">
        <v>12</v>
      </c>
      <c r="E15" s="10" t="s">
        <v>83</v>
      </c>
      <c r="F15" s="10" t="s">
        <v>157</v>
      </c>
      <c r="G15" s="10" t="s">
        <v>91</v>
      </c>
      <c r="H15" s="10" t="s">
        <v>164</v>
      </c>
      <c r="I15" s="10">
        <v>0</v>
      </c>
      <c r="J15" s="10" t="s">
        <v>128</v>
      </c>
      <c r="K15" s="10" t="s">
        <v>168</v>
      </c>
      <c r="L15" s="10" t="s">
        <v>176</v>
      </c>
      <c r="M15" s="10" t="s">
        <v>188</v>
      </c>
      <c r="N15" s="10" t="s">
        <v>226</v>
      </c>
      <c r="O15" s="12" t="s">
        <v>229</v>
      </c>
      <c r="P15" s="10" t="s">
        <v>241</v>
      </c>
      <c r="Q15" s="10" t="s">
        <v>278</v>
      </c>
      <c r="R15" s="10" t="s">
        <v>29</v>
      </c>
    </row>
    <row r="16" spans="1:18" x14ac:dyDescent="0.25">
      <c r="A16" t="s">
        <v>119</v>
      </c>
      <c r="B16" s="11">
        <v>0.06</v>
      </c>
      <c r="C16" s="10">
        <v>1</v>
      </c>
      <c r="D16" s="10">
        <v>3</v>
      </c>
      <c r="E16" s="10" t="s">
        <v>83</v>
      </c>
      <c r="F16" s="10" t="s">
        <v>158</v>
      </c>
      <c r="G16" s="10" t="s">
        <v>91</v>
      </c>
      <c r="H16" s="10" t="s">
        <v>164</v>
      </c>
      <c r="I16" s="10">
        <v>0</v>
      </c>
      <c r="J16" s="10" t="s">
        <v>128</v>
      </c>
      <c r="K16" s="10" t="s">
        <v>169</v>
      </c>
      <c r="L16" s="10" t="s">
        <v>176</v>
      </c>
      <c r="M16" s="10" t="s">
        <v>189</v>
      </c>
      <c r="N16" s="10" t="s">
        <v>226</v>
      </c>
      <c r="O16" s="12" t="s">
        <v>230</v>
      </c>
      <c r="P16" s="10" t="s">
        <v>242</v>
      </c>
      <c r="Q16" s="10" t="s">
        <v>278</v>
      </c>
      <c r="R16" s="10" t="s">
        <v>30</v>
      </c>
    </row>
    <row r="17" spans="1:18" x14ac:dyDescent="0.25">
      <c r="A17" t="s">
        <v>120</v>
      </c>
      <c r="B17" s="11">
        <v>7.0000000000000007E-2</v>
      </c>
      <c r="C17" s="10">
        <v>12</v>
      </c>
      <c r="D17" s="10">
        <v>13</v>
      </c>
      <c r="E17" s="10" t="s">
        <v>84</v>
      </c>
      <c r="F17" s="10" t="s">
        <v>158</v>
      </c>
      <c r="G17" s="10" t="s">
        <v>91</v>
      </c>
      <c r="H17" s="10" t="s">
        <v>165</v>
      </c>
      <c r="I17" s="10">
        <v>0</v>
      </c>
      <c r="J17" s="10" t="s">
        <v>128</v>
      </c>
      <c r="K17" s="10" t="s">
        <v>169</v>
      </c>
      <c r="L17" s="10" t="s">
        <v>176</v>
      </c>
      <c r="M17" s="10" t="s">
        <v>190</v>
      </c>
      <c r="N17" s="10" t="s">
        <v>226</v>
      </c>
      <c r="O17" s="12" t="s">
        <v>228</v>
      </c>
      <c r="P17" s="10" t="s">
        <v>243</v>
      </c>
      <c r="Q17" s="10" t="s">
        <v>278</v>
      </c>
      <c r="R17" s="10" t="s">
        <v>31</v>
      </c>
    </row>
    <row r="18" spans="1:18" x14ac:dyDescent="0.25">
      <c r="A18" t="s">
        <v>121</v>
      </c>
      <c r="B18" s="11">
        <v>7.0000000000000007E-2</v>
      </c>
      <c r="C18" s="10">
        <v>1</v>
      </c>
      <c r="D18" s="10">
        <v>3</v>
      </c>
      <c r="E18" s="10" t="s">
        <v>84</v>
      </c>
      <c r="F18" s="10" t="s">
        <v>158</v>
      </c>
      <c r="G18" s="10" t="s">
        <v>161</v>
      </c>
      <c r="H18" s="10" t="s">
        <v>165</v>
      </c>
      <c r="I18" s="10">
        <v>0</v>
      </c>
      <c r="J18" s="10" t="s">
        <v>128</v>
      </c>
      <c r="K18" s="10" t="s">
        <v>169</v>
      </c>
      <c r="L18" s="10" t="s">
        <v>176</v>
      </c>
      <c r="M18" s="10" t="s">
        <v>191</v>
      </c>
      <c r="N18" s="10" t="s">
        <v>226</v>
      </c>
      <c r="O18" s="12" t="s">
        <v>229</v>
      </c>
      <c r="P18" s="10" t="s">
        <v>244</v>
      </c>
      <c r="Q18" s="10" t="s">
        <v>278</v>
      </c>
      <c r="R18" s="10" t="s">
        <v>32</v>
      </c>
    </row>
    <row r="19" spans="1:18" x14ac:dyDescent="0.25">
      <c r="A19" t="s">
        <v>122</v>
      </c>
      <c r="B19" s="11">
        <v>7.0000000000000007E-2</v>
      </c>
      <c r="C19" s="10">
        <v>13</v>
      </c>
      <c r="D19" s="10">
        <v>17</v>
      </c>
      <c r="E19" s="10" t="s">
        <v>84</v>
      </c>
      <c r="F19" s="10" t="s">
        <v>158</v>
      </c>
      <c r="G19" s="10" t="s">
        <v>161</v>
      </c>
      <c r="H19" s="10" t="s">
        <v>165</v>
      </c>
      <c r="I19" s="10">
        <v>0</v>
      </c>
      <c r="J19" s="10" t="s">
        <v>128</v>
      </c>
      <c r="K19" s="10" t="s">
        <v>170</v>
      </c>
      <c r="L19" s="10" t="s">
        <v>176</v>
      </c>
      <c r="M19" s="10" t="s">
        <v>192</v>
      </c>
      <c r="N19" s="10" t="s">
        <v>226</v>
      </c>
      <c r="O19" s="12" t="s">
        <v>230</v>
      </c>
      <c r="P19" s="10" t="s">
        <v>245</v>
      </c>
      <c r="Q19" s="10" t="s">
        <v>278</v>
      </c>
      <c r="R19" s="10" t="s">
        <v>33</v>
      </c>
    </row>
    <row r="20" spans="1:18" x14ac:dyDescent="0.25">
      <c r="A20" t="s">
        <v>123</v>
      </c>
      <c r="B20" s="11">
        <v>0.06</v>
      </c>
      <c r="C20" s="10">
        <v>1</v>
      </c>
      <c r="D20" s="10">
        <v>3</v>
      </c>
      <c r="E20" s="10" t="s">
        <v>83</v>
      </c>
      <c r="F20" s="10" t="s">
        <v>159</v>
      </c>
      <c r="G20" s="10" t="s">
        <v>161</v>
      </c>
      <c r="H20" s="10" t="s">
        <v>165</v>
      </c>
      <c r="I20" s="10">
        <v>0</v>
      </c>
      <c r="J20" s="10" t="s">
        <v>128</v>
      </c>
      <c r="K20" s="10" t="s">
        <v>171</v>
      </c>
      <c r="L20" s="10" t="s">
        <v>176</v>
      </c>
      <c r="M20" s="10" t="s">
        <v>193</v>
      </c>
      <c r="N20" s="10" t="s">
        <v>226</v>
      </c>
      <c r="O20" s="12" t="s">
        <v>228</v>
      </c>
      <c r="P20" s="10" t="s">
        <v>246</v>
      </c>
      <c r="Q20" s="10" t="s">
        <v>279</v>
      </c>
      <c r="R20" s="10" t="s">
        <v>34</v>
      </c>
    </row>
    <row r="21" spans="1:18" x14ac:dyDescent="0.25">
      <c r="A21" t="s">
        <v>124</v>
      </c>
      <c r="B21" s="11">
        <v>0.05</v>
      </c>
      <c r="C21" s="10">
        <v>1</v>
      </c>
      <c r="D21" s="10">
        <v>1</v>
      </c>
      <c r="E21" s="10" t="s">
        <v>83</v>
      </c>
      <c r="F21" s="10" t="s">
        <v>159</v>
      </c>
      <c r="G21" s="10" t="s">
        <v>161</v>
      </c>
      <c r="H21" s="10" t="s">
        <v>165</v>
      </c>
      <c r="I21" s="10">
        <v>0</v>
      </c>
      <c r="J21" s="10" t="s">
        <v>128</v>
      </c>
      <c r="K21" s="10" t="s">
        <v>172</v>
      </c>
      <c r="L21" s="10" t="s">
        <v>177</v>
      </c>
      <c r="M21" s="10" t="s">
        <v>194</v>
      </c>
      <c r="N21" s="10" t="s">
        <v>226</v>
      </c>
      <c r="O21" s="12" t="s">
        <v>229</v>
      </c>
      <c r="P21" s="10" t="s">
        <v>247</v>
      </c>
      <c r="Q21" s="10" t="s">
        <v>279</v>
      </c>
      <c r="R21" s="10" t="s">
        <v>35</v>
      </c>
    </row>
    <row r="22" spans="1:18" x14ac:dyDescent="0.25">
      <c r="A22" t="s">
        <v>125</v>
      </c>
      <c r="B22" s="11">
        <v>0.06</v>
      </c>
      <c r="C22" s="10">
        <v>12</v>
      </c>
      <c r="D22" s="10">
        <v>17</v>
      </c>
      <c r="E22" s="10" t="s">
        <v>84</v>
      </c>
      <c r="F22" s="10" t="s">
        <v>159</v>
      </c>
      <c r="G22" s="10" t="s">
        <v>161</v>
      </c>
      <c r="H22" s="10" t="s">
        <v>165</v>
      </c>
      <c r="I22" s="10">
        <v>0</v>
      </c>
      <c r="J22" s="10" t="s">
        <v>128</v>
      </c>
      <c r="K22" s="10" t="s">
        <v>172</v>
      </c>
      <c r="L22" s="10" t="s">
        <v>177</v>
      </c>
      <c r="M22" s="10" t="s">
        <v>195</v>
      </c>
      <c r="N22" s="10" t="s">
        <v>226</v>
      </c>
      <c r="O22" s="12" t="s">
        <v>230</v>
      </c>
      <c r="P22" s="10" t="s">
        <v>248</v>
      </c>
      <c r="Q22" s="10" t="s">
        <v>279</v>
      </c>
      <c r="R22" s="10" t="s">
        <v>36</v>
      </c>
    </row>
    <row r="23" spans="1:18" x14ac:dyDescent="0.25">
      <c r="A23" t="s">
        <v>126</v>
      </c>
      <c r="B23" s="11">
        <v>0.32</v>
      </c>
      <c r="C23" s="10">
        <v>21</v>
      </c>
      <c r="D23" s="10">
        <v>19</v>
      </c>
      <c r="E23" s="10" t="s">
        <v>84</v>
      </c>
      <c r="F23" s="10" t="s">
        <v>159</v>
      </c>
      <c r="G23" s="10" t="s">
        <v>162</v>
      </c>
      <c r="H23" s="10" t="s">
        <v>163</v>
      </c>
      <c r="I23" s="10">
        <v>0</v>
      </c>
      <c r="J23" s="10" t="s">
        <v>128</v>
      </c>
      <c r="K23" s="10" t="s">
        <v>172</v>
      </c>
      <c r="L23" s="10" t="s">
        <v>177</v>
      </c>
      <c r="M23" s="10" t="s">
        <v>196</v>
      </c>
      <c r="N23" s="10" t="s">
        <v>226</v>
      </c>
      <c r="O23" s="12" t="s">
        <v>228</v>
      </c>
      <c r="P23" s="10" t="s">
        <v>249</v>
      </c>
      <c r="Q23" s="10" t="s">
        <v>279</v>
      </c>
      <c r="R23" s="10" t="s">
        <v>37</v>
      </c>
    </row>
    <row r="24" spans="1:18" x14ac:dyDescent="0.25">
      <c r="A24" t="s">
        <v>127</v>
      </c>
      <c r="B24" s="11">
        <v>7.0000000000000007E-2</v>
      </c>
      <c r="C24" s="10">
        <v>12</v>
      </c>
      <c r="D24" s="10">
        <v>17</v>
      </c>
      <c r="E24" s="10" t="s">
        <v>84</v>
      </c>
      <c r="F24" s="10" t="s">
        <v>159</v>
      </c>
      <c r="G24" s="10" t="s">
        <v>162</v>
      </c>
      <c r="H24" s="10" t="s">
        <v>164</v>
      </c>
      <c r="I24" s="10">
        <v>0</v>
      </c>
      <c r="J24" s="10" t="s">
        <v>128</v>
      </c>
      <c r="K24" s="10" t="s">
        <v>173</v>
      </c>
      <c r="L24" s="10" t="s">
        <v>177</v>
      </c>
      <c r="M24" s="10" t="s">
        <v>197</v>
      </c>
      <c r="N24" s="10" t="s">
        <v>226</v>
      </c>
      <c r="O24" s="12" t="s">
        <v>229</v>
      </c>
      <c r="P24" s="10" t="s">
        <v>250</v>
      </c>
      <c r="Q24" s="10" t="s">
        <v>279</v>
      </c>
      <c r="R24" s="10" t="s">
        <v>38</v>
      </c>
    </row>
    <row r="25" spans="1:18" x14ac:dyDescent="0.25">
      <c r="A25" t="s">
        <v>39</v>
      </c>
      <c r="B25" s="11">
        <v>0.05</v>
      </c>
      <c r="C25" s="10">
        <v>14</v>
      </c>
      <c r="D25" s="10">
        <v>16</v>
      </c>
      <c r="E25" s="10" t="s">
        <v>85</v>
      </c>
      <c r="F25" s="10" t="s">
        <v>159</v>
      </c>
      <c r="G25" s="10" t="s">
        <v>162</v>
      </c>
      <c r="H25" s="10" t="s">
        <v>164</v>
      </c>
      <c r="I25" s="10">
        <v>0</v>
      </c>
      <c r="J25" s="10" t="s">
        <v>128</v>
      </c>
      <c r="K25" s="10" t="s">
        <v>173</v>
      </c>
      <c r="L25" s="10" t="s">
        <v>177</v>
      </c>
      <c r="M25" s="10" t="s">
        <v>198</v>
      </c>
      <c r="N25" s="10" t="s">
        <v>226</v>
      </c>
      <c r="O25" s="12" t="s">
        <v>230</v>
      </c>
      <c r="P25" s="10" t="s">
        <v>251</v>
      </c>
      <c r="Q25" s="10" t="s">
        <v>279</v>
      </c>
      <c r="R25" s="10" t="s">
        <v>39</v>
      </c>
    </row>
    <row r="26" spans="1:18" x14ac:dyDescent="0.25">
      <c r="A26" t="s">
        <v>40</v>
      </c>
      <c r="B26" s="11" t="s">
        <v>19</v>
      </c>
      <c r="C26" s="10">
        <v>29</v>
      </c>
      <c r="D26" s="10">
        <v>18</v>
      </c>
      <c r="E26" s="10" t="s">
        <v>86</v>
      </c>
      <c r="F26" s="10" t="s">
        <v>159</v>
      </c>
      <c r="G26" s="10" t="s">
        <v>162</v>
      </c>
      <c r="H26" s="10" t="s">
        <v>165</v>
      </c>
      <c r="I26" s="10">
        <v>0</v>
      </c>
      <c r="J26" s="10" t="s">
        <v>128</v>
      </c>
      <c r="K26" s="10" t="s">
        <v>173</v>
      </c>
      <c r="L26" s="10" t="s">
        <v>177</v>
      </c>
      <c r="M26" s="10" t="s">
        <v>199</v>
      </c>
      <c r="N26" s="10" t="s">
        <v>226</v>
      </c>
      <c r="O26" s="12" t="s">
        <v>228</v>
      </c>
      <c r="P26" s="10" t="s">
        <v>252</v>
      </c>
      <c r="Q26" s="10" t="s">
        <v>279</v>
      </c>
      <c r="R26" s="10" t="s">
        <v>40</v>
      </c>
    </row>
    <row r="27" spans="1:18" x14ac:dyDescent="0.25">
      <c r="A27" t="s">
        <v>41</v>
      </c>
      <c r="B27" s="11">
        <v>0.08</v>
      </c>
      <c r="C27" s="10">
        <v>16</v>
      </c>
      <c r="D27" s="10">
        <v>17</v>
      </c>
      <c r="E27" s="10" t="s">
        <v>83</v>
      </c>
      <c r="F27" s="10" t="s">
        <v>159</v>
      </c>
      <c r="G27" s="10" t="s">
        <v>162</v>
      </c>
      <c r="H27" s="10" t="s">
        <v>165</v>
      </c>
      <c r="I27" s="10">
        <v>0</v>
      </c>
      <c r="J27" s="10" t="s">
        <v>128</v>
      </c>
      <c r="K27" s="10" t="s">
        <v>173</v>
      </c>
      <c r="L27" s="10" t="s">
        <v>177</v>
      </c>
      <c r="M27" s="10" t="s">
        <v>200</v>
      </c>
      <c r="N27" s="10" t="s">
        <v>226</v>
      </c>
      <c r="O27" s="12" t="s">
        <v>229</v>
      </c>
      <c r="P27" s="10" t="s">
        <v>253</v>
      </c>
      <c r="Q27" s="10" t="s">
        <v>279</v>
      </c>
      <c r="R27" s="10" t="s">
        <v>41</v>
      </c>
    </row>
    <row r="28" spans="1:18" x14ac:dyDescent="0.25">
      <c r="A28" t="s">
        <v>92</v>
      </c>
      <c r="B28" s="11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2"/>
      <c r="P28" s="10"/>
      <c r="Q28" s="10"/>
      <c r="R28" s="10"/>
    </row>
    <row r="29" spans="1:18" x14ac:dyDescent="0.25">
      <c r="A29" t="s">
        <v>43</v>
      </c>
      <c r="B29" s="11">
        <v>0.28000000000000003</v>
      </c>
      <c r="C29" s="10">
        <v>36</v>
      </c>
      <c r="D29" s="10">
        <v>26</v>
      </c>
      <c r="E29" s="10" t="s">
        <v>84</v>
      </c>
      <c r="F29" s="10" t="s">
        <v>159</v>
      </c>
      <c r="G29" s="10" t="s">
        <v>160</v>
      </c>
      <c r="H29" s="10" t="s">
        <v>165</v>
      </c>
      <c r="I29" s="10">
        <v>0</v>
      </c>
      <c r="J29" s="10" t="s">
        <v>128</v>
      </c>
      <c r="K29" s="10" t="s">
        <v>173</v>
      </c>
      <c r="L29" s="10" t="s">
        <v>177</v>
      </c>
      <c r="M29" s="10" t="s">
        <v>202</v>
      </c>
      <c r="N29" s="10" t="s">
        <v>226</v>
      </c>
      <c r="O29" s="12" t="s">
        <v>228</v>
      </c>
      <c r="P29" s="10" t="s">
        <v>255</v>
      </c>
      <c r="Q29" s="10" t="s">
        <v>279</v>
      </c>
      <c r="R29" s="10" t="s">
        <v>43</v>
      </c>
    </row>
    <row r="30" spans="1:18" x14ac:dyDescent="0.25">
      <c r="A30" t="s">
        <v>44</v>
      </c>
      <c r="B30" s="11">
        <v>0.02</v>
      </c>
      <c r="C30" s="10">
        <v>19</v>
      </c>
      <c r="D30" s="10">
        <v>24</v>
      </c>
      <c r="E30" s="10" t="s">
        <v>84</v>
      </c>
      <c r="F30" s="10" t="s">
        <v>159</v>
      </c>
      <c r="G30" s="10" t="s">
        <v>160</v>
      </c>
      <c r="H30" s="10" t="s">
        <v>165</v>
      </c>
      <c r="I30" s="10">
        <v>0</v>
      </c>
      <c r="J30" s="10" t="s">
        <v>128</v>
      </c>
      <c r="K30" s="10" t="s">
        <v>166</v>
      </c>
      <c r="L30" s="10" t="s">
        <v>177</v>
      </c>
      <c r="M30" s="10" t="s">
        <v>203</v>
      </c>
      <c r="N30" s="10" t="s">
        <v>227</v>
      </c>
      <c r="O30" s="12" t="s">
        <v>229</v>
      </c>
      <c r="P30" s="10" t="s">
        <v>256</v>
      </c>
      <c r="Q30" s="10" t="s">
        <v>279</v>
      </c>
      <c r="R30" s="10" t="s">
        <v>44</v>
      </c>
    </row>
    <row r="31" spans="1:18" x14ac:dyDescent="0.25">
      <c r="A31" t="s">
        <v>45</v>
      </c>
      <c r="B31" s="11">
        <v>0.05</v>
      </c>
      <c r="C31" s="10">
        <v>14</v>
      </c>
      <c r="D31" s="10">
        <v>13</v>
      </c>
      <c r="E31" s="10" t="s">
        <v>84</v>
      </c>
      <c r="F31" s="10" t="s">
        <v>159</v>
      </c>
      <c r="G31" s="10" t="s">
        <v>160</v>
      </c>
      <c r="H31" s="10" t="s">
        <v>165</v>
      </c>
      <c r="I31" s="10">
        <v>0</v>
      </c>
      <c r="J31" s="10" t="s">
        <v>128</v>
      </c>
      <c r="K31" s="10" t="s">
        <v>166</v>
      </c>
      <c r="L31" s="10" t="s">
        <v>177</v>
      </c>
      <c r="M31" s="10" t="s">
        <v>204</v>
      </c>
      <c r="N31" s="10" t="s">
        <v>227</v>
      </c>
      <c r="O31" s="12" t="s">
        <v>230</v>
      </c>
      <c r="P31" s="10" t="s">
        <v>257</v>
      </c>
      <c r="Q31" s="10" t="s">
        <v>279</v>
      </c>
      <c r="R31" s="10" t="s">
        <v>45</v>
      </c>
    </row>
    <row r="32" spans="1:18" x14ac:dyDescent="0.25">
      <c r="A32" t="s">
        <v>46</v>
      </c>
      <c r="B32" s="11">
        <v>0.48</v>
      </c>
      <c r="C32" s="10">
        <v>10</v>
      </c>
      <c r="D32" s="10">
        <v>11</v>
      </c>
      <c r="E32" s="10" t="s">
        <v>85</v>
      </c>
      <c r="F32" s="10" t="s">
        <v>159</v>
      </c>
      <c r="G32" s="10" t="s">
        <v>160</v>
      </c>
      <c r="H32" s="10" t="s">
        <v>163</v>
      </c>
      <c r="I32" s="10">
        <v>0</v>
      </c>
      <c r="J32" s="10" t="s">
        <v>128</v>
      </c>
      <c r="K32" s="10" t="s">
        <v>166</v>
      </c>
      <c r="L32" s="10" t="s">
        <v>174</v>
      </c>
      <c r="M32" s="10" t="s">
        <v>205</v>
      </c>
      <c r="N32" s="10" t="s">
        <v>227</v>
      </c>
      <c r="O32" s="12" t="s">
        <v>228</v>
      </c>
      <c r="P32" s="10" t="s">
        <v>258</v>
      </c>
      <c r="Q32" s="10" t="s">
        <v>279</v>
      </c>
      <c r="R32" s="10" t="s">
        <v>46</v>
      </c>
    </row>
    <row r="33" spans="1:18" x14ac:dyDescent="0.25">
      <c r="A33" t="s">
        <v>47</v>
      </c>
      <c r="B33" s="11">
        <v>0.55000000000000004</v>
      </c>
      <c r="C33" s="10">
        <v>11</v>
      </c>
      <c r="D33" s="10">
        <v>14</v>
      </c>
      <c r="E33" s="10" t="s">
        <v>86</v>
      </c>
      <c r="F33" s="10" t="s">
        <v>159</v>
      </c>
      <c r="G33" s="10" t="s">
        <v>160</v>
      </c>
      <c r="H33" s="10" t="s">
        <v>164</v>
      </c>
      <c r="I33" s="10">
        <v>0</v>
      </c>
      <c r="J33" s="10" t="s">
        <v>128</v>
      </c>
      <c r="K33" s="10" t="s">
        <v>166</v>
      </c>
      <c r="L33" s="10" t="s">
        <v>174</v>
      </c>
      <c r="M33" s="10" t="s">
        <v>206</v>
      </c>
      <c r="N33" s="10" t="s">
        <v>227</v>
      </c>
      <c r="O33" s="12" t="s">
        <v>229</v>
      </c>
      <c r="P33" s="10" t="s">
        <v>259</v>
      </c>
      <c r="Q33" s="10" t="s">
        <v>279</v>
      </c>
      <c r="R33" s="10" t="s">
        <v>47</v>
      </c>
    </row>
    <row r="34" spans="1:18" x14ac:dyDescent="0.25">
      <c r="A34" t="s">
        <v>48</v>
      </c>
      <c r="B34" s="11">
        <v>7.0000000000000007E-2</v>
      </c>
      <c r="C34" s="10">
        <v>9</v>
      </c>
      <c r="D34" s="10">
        <v>12</v>
      </c>
      <c r="E34" s="10" t="s">
        <v>83</v>
      </c>
      <c r="F34" s="10" t="s">
        <v>159</v>
      </c>
      <c r="G34" s="10" t="s">
        <v>160</v>
      </c>
      <c r="H34" s="10" t="s">
        <v>164</v>
      </c>
      <c r="I34" s="10">
        <v>0</v>
      </c>
      <c r="J34" s="10" t="s">
        <v>128</v>
      </c>
      <c r="K34" s="10" t="s">
        <v>167</v>
      </c>
      <c r="L34" s="10" t="s">
        <v>174</v>
      </c>
      <c r="M34" s="10" t="s">
        <v>207</v>
      </c>
      <c r="N34" s="10">
        <v>20</v>
      </c>
      <c r="O34" s="12" t="s">
        <v>230</v>
      </c>
      <c r="P34" s="10" t="s">
        <v>260</v>
      </c>
      <c r="Q34" s="10" t="s">
        <v>279</v>
      </c>
      <c r="R34" s="10" t="s">
        <v>48</v>
      </c>
    </row>
    <row r="35" spans="1:18" x14ac:dyDescent="0.25">
      <c r="A35" t="s">
        <v>49</v>
      </c>
      <c r="B35" s="11">
        <v>7.0000000000000007E-2</v>
      </c>
      <c r="C35" s="10">
        <v>1</v>
      </c>
      <c r="D35" s="10">
        <v>1</v>
      </c>
      <c r="E35" s="10" t="s">
        <v>83</v>
      </c>
      <c r="F35" s="10" t="s">
        <v>159</v>
      </c>
      <c r="G35" s="10" t="s">
        <v>160</v>
      </c>
      <c r="H35" s="10" t="s">
        <v>165</v>
      </c>
      <c r="I35" s="10">
        <v>0</v>
      </c>
      <c r="J35" s="10" t="s">
        <v>128</v>
      </c>
      <c r="K35" s="10" t="s">
        <v>167</v>
      </c>
      <c r="L35" s="10" t="s">
        <v>174</v>
      </c>
      <c r="M35" s="10" t="s">
        <v>208</v>
      </c>
      <c r="N35" s="10">
        <v>20</v>
      </c>
      <c r="O35" s="12" t="s">
        <v>228</v>
      </c>
      <c r="P35" s="10" t="s">
        <v>261</v>
      </c>
      <c r="Q35" s="10" t="s">
        <v>279</v>
      </c>
      <c r="R35" s="10" t="s">
        <v>49</v>
      </c>
    </row>
    <row r="36" spans="1:18" x14ac:dyDescent="0.25">
      <c r="A36" t="s">
        <v>50</v>
      </c>
      <c r="B36" s="11">
        <v>7.0000000000000007E-2</v>
      </c>
      <c r="C36" s="10">
        <v>13</v>
      </c>
      <c r="D36" s="10">
        <v>13</v>
      </c>
      <c r="E36" s="10" t="s">
        <v>84</v>
      </c>
      <c r="F36" s="10" t="s">
        <v>159</v>
      </c>
      <c r="G36" s="10" t="s">
        <v>91</v>
      </c>
      <c r="H36" s="10" t="s">
        <v>165</v>
      </c>
      <c r="I36" s="10">
        <v>0</v>
      </c>
      <c r="J36" s="10" t="s">
        <v>128</v>
      </c>
      <c r="K36" s="10" t="s">
        <v>167</v>
      </c>
      <c r="L36" s="10" t="s">
        <v>174</v>
      </c>
      <c r="M36" s="10" t="s">
        <v>209</v>
      </c>
      <c r="N36" s="10">
        <v>20</v>
      </c>
      <c r="O36" s="12" t="s">
        <v>229</v>
      </c>
      <c r="P36" s="10" t="s">
        <v>262</v>
      </c>
      <c r="Q36" s="10" t="s">
        <v>279</v>
      </c>
      <c r="R36" s="10" t="s">
        <v>50</v>
      </c>
    </row>
    <row r="37" spans="1:18" x14ac:dyDescent="0.25">
      <c r="A37" t="s">
        <v>93</v>
      </c>
      <c r="B37" s="11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2"/>
      <c r="P37" s="10"/>
      <c r="Q37" s="10"/>
      <c r="R37" s="10"/>
    </row>
    <row r="38" spans="1:18" x14ac:dyDescent="0.25">
      <c r="A38" t="s">
        <v>94</v>
      </c>
      <c r="B38" s="11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2"/>
      <c r="P38" s="10"/>
      <c r="Q38" s="10"/>
      <c r="R38" s="10"/>
    </row>
    <row r="39" spans="1:18" x14ac:dyDescent="0.25">
      <c r="A39" t="s">
        <v>95</v>
      </c>
      <c r="B39" s="11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2"/>
      <c r="P39" s="10"/>
      <c r="Q39" s="10"/>
      <c r="R39" s="10"/>
    </row>
    <row r="40" spans="1:18" x14ac:dyDescent="0.25">
      <c r="A40" t="s">
        <v>96</v>
      </c>
      <c r="B40" s="11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2"/>
      <c r="P40" s="10"/>
      <c r="Q40" s="10"/>
      <c r="R40" s="10"/>
    </row>
    <row r="41" spans="1:18" x14ac:dyDescent="0.25">
      <c r="A41" t="s">
        <v>97</v>
      </c>
      <c r="B41" s="11">
        <v>0.09</v>
      </c>
      <c r="C41" s="10">
        <v>24</v>
      </c>
      <c r="D41" s="10">
        <v>24</v>
      </c>
      <c r="E41" s="10" t="s">
        <v>84</v>
      </c>
      <c r="F41" s="10" t="s">
        <v>159</v>
      </c>
      <c r="G41" s="10" t="s">
        <v>162</v>
      </c>
      <c r="H41" s="10" t="s">
        <v>163</v>
      </c>
      <c r="I41" s="10">
        <v>0</v>
      </c>
      <c r="J41" s="10" t="s">
        <v>129</v>
      </c>
      <c r="K41" s="10" t="s">
        <v>173</v>
      </c>
      <c r="L41" s="10" t="s">
        <v>177</v>
      </c>
      <c r="M41" s="10" t="s">
        <v>224</v>
      </c>
      <c r="N41" s="10">
        <v>20</v>
      </c>
      <c r="O41" s="12" t="s">
        <v>230</v>
      </c>
      <c r="P41" s="10" t="s">
        <v>275</v>
      </c>
      <c r="Q41" s="10" t="s">
        <v>279</v>
      </c>
      <c r="R41" s="10">
        <v>0</v>
      </c>
    </row>
    <row r="42" spans="1:18" x14ac:dyDescent="0.25">
      <c r="A42" t="s">
        <v>98</v>
      </c>
      <c r="B42" s="11" t="s">
        <v>19</v>
      </c>
      <c r="C42" s="10">
        <v>21</v>
      </c>
      <c r="D42" s="10">
        <v>22</v>
      </c>
      <c r="E42" s="10" t="s">
        <v>84</v>
      </c>
      <c r="F42" s="10" t="s">
        <v>159</v>
      </c>
      <c r="G42" s="10" t="s">
        <v>162</v>
      </c>
      <c r="H42" s="10" t="s">
        <v>163</v>
      </c>
      <c r="I42" s="10">
        <v>0</v>
      </c>
      <c r="J42" s="10" t="s">
        <v>129</v>
      </c>
      <c r="K42" s="10" t="s">
        <v>173</v>
      </c>
      <c r="L42" s="10" t="s">
        <v>177</v>
      </c>
      <c r="M42" s="10" t="s">
        <v>224</v>
      </c>
      <c r="N42" s="10">
        <v>20</v>
      </c>
      <c r="O42" s="12" t="s">
        <v>230</v>
      </c>
      <c r="P42" s="10" t="s">
        <v>275</v>
      </c>
      <c r="Q42" s="10" t="s">
        <v>279</v>
      </c>
      <c r="R42" s="10">
        <v>0</v>
      </c>
    </row>
    <row r="43" spans="1:18" x14ac:dyDescent="0.25">
      <c r="A43" t="s">
        <v>99</v>
      </c>
      <c r="B43" s="11">
        <v>0.64</v>
      </c>
      <c r="C43" s="10">
        <v>15</v>
      </c>
      <c r="D43" s="10">
        <v>21</v>
      </c>
      <c r="E43" s="10" t="s">
        <v>85</v>
      </c>
      <c r="F43" s="10" t="s">
        <v>159</v>
      </c>
      <c r="G43" s="10" t="s">
        <v>162</v>
      </c>
      <c r="H43" s="10" t="s">
        <v>163</v>
      </c>
      <c r="I43" s="10">
        <v>0</v>
      </c>
      <c r="J43" s="10" t="s">
        <v>129</v>
      </c>
      <c r="K43" s="10" t="s">
        <v>173</v>
      </c>
      <c r="L43" s="10" t="s">
        <v>177</v>
      </c>
      <c r="M43" s="10" t="s">
        <v>224</v>
      </c>
      <c r="N43" s="10">
        <v>20</v>
      </c>
      <c r="O43" s="12" t="s">
        <v>230</v>
      </c>
      <c r="P43" s="10" t="s">
        <v>275</v>
      </c>
      <c r="Q43" s="10" t="s">
        <v>279</v>
      </c>
      <c r="R43" s="10">
        <v>0</v>
      </c>
    </row>
    <row r="44" spans="1:18" x14ac:dyDescent="0.25">
      <c r="A44" t="s">
        <v>100</v>
      </c>
      <c r="B44" s="11">
        <v>0.17</v>
      </c>
      <c r="C44" s="10">
        <v>10</v>
      </c>
      <c r="D44" s="10">
        <v>18</v>
      </c>
      <c r="E44" s="10" t="s">
        <v>86</v>
      </c>
      <c r="F44" s="10" t="s">
        <v>159</v>
      </c>
      <c r="G44" s="10" t="s">
        <v>162</v>
      </c>
      <c r="H44" s="10" t="s">
        <v>163</v>
      </c>
      <c r="I44" s="10">
        <v>0</v>
      </c>
      <c r="J44" s="10" t="s">
        <v>129</v>
      </c>
      <c r="K44" s="10" t="s">
        <v>173</v>
      </c>
      <c r="L44" s="10" t="s">
        <v>177</v>
      </c>
      <c r="M44" s="10" t="s">
        <v>224</v>
      </c>
      <c r="N44" s="10">
        <v>20</v>
      </c>
      <c r="O44" s="12" t="s">
        <v>230</v>
      </c>
      <c r="P44" s="10" t="s">
        <v>275</v>
      </c>
      <c r="Q44" s="10" t="s">
        <v>279</v>
      </c>
      <c r="R44" s="10">
        <v>0</v>
      </c>
    </row>
    <row r="45" spans="1:18" x14ac:dyDescent="0.25">
      <c r="A45" t="s">
        <v>101</v>
      </c>
      <c r="B45" s="11">
        <v>0.12</v>
      </c>
      <c r="C45" s="10">
        <v>27</v>
      </c>
      <c r="D45" s="10">
        <v>27</v>
      </c>
      <c r="E45" s="10" t="s">
        <v>83</v>
      </c>
      <c r="F45" s="10" t="s">
        <v>159</v>
      </c>
      <c r="G45" s="10" t="s">
        <v>162</v>
      </c>
      <c r="H45" s="10" t="s">
        <v>163</v>
      </c>
      <c r="I45" s="10">
        <v>0</v>
      </c>
      <c r="J45" s="10" t="s">
        <v>129</v>
      </c>
      <c r="K45" s="10" t="s">
        <v>173</v>
      </c>
      <c r="L45" s="10" t="s">
        <v>177</v>
      </c>
      <c r="M45" s="10" t="s">
        <v>224</v>
      </c>
      <c r="N45" s="10">
        <v>20</v>
      </c>
      <c r="O45" s="12" t="s">
        <v>230</v>
      </c>
      <c r="P45" s="10" t="s">
        <v>275</v>
      </c>
      <c r="Q45" s="10" t="s">
        <v>279</v>
      </c>
      <c r="R45" s="10">
        <v>0</v>
      </c>
    </row>
    <row r="46" spans="1:18" x14ac:dyDescent="0.25">
      <c r="A46" t="s">
        <v>102</v>
      </c>
      <c r="B46" s="11">
        <v>0.13</v>
      </c>
      <c r="C46" s="10">
        <v>7</v>
      </c>
      <c r="D46" s="10">
        <v>6</v>
      </c>
      <c r="E46" s="10" t="s">
        <v>83</v>
      </c>
      <c r="F46" s="10" t="s">
        <v>159</v>
      </c>
      <c r="G46" s="10" t="s">
        <v>162</v>
      </c>
      <c r="H46" s="10" t="s">
        <v>163</v>
      </c>
      <c r="I46" s="10">
        <v>0</v>
      </c>
      <c r="J46" s="10" t="s">
        <v>129</v>
      </c>
      <c r="K46" s="10" t="s">
        <v>173</v>
      </c>
      <c r="L46" s="10" t="s">
        <v>177</v>
      </c>
      <c r="M46" s="10" t="s">
        <v>224</v>
      </c>
      <c r="N46" s="10">
        <v>20</v>
      </c>
      <c r="O46" s="12" t="s">
        <v>230</v>
      </c>
      <c r="P46" s="10" t="s">
        <v>275</v>
      </c>
      <c r="Q46" s="10" t="s">
        <v>279</v>
      </c>
      <c r="R46" s="10">
        <v>0</v>
      </c>
    </row>
    <row r="47" spans="1:18" x14ac:dyDescent="0.25">
      <c r="A47" t="s">
        <v>103</v>
      </c>
      <c r="B47" s="11">
        <v>0.03</v>
      </c>
      <c r="C47" s="10">
        <v>71</v>
      </c>
      <c r="D47" s="10">
        <v>38</v>
      </c>
      <c r="E47" s="10" t="s">
        <v>84</v>
      </c>
      <c r="F47" s="10" t="s">
        <v>159</v>
      </c>
      <c r="G47" s="10" t="s">
        <v>162</v>
      </c>
      <c r="H47" s="10" t="s">
        <v>163</v>
      </c>
      <c r="I47" s="10">
        <v>0</v>
      </c>
      <c r="J47" s="10" t="s">
        <v>129</v>
      </c>
      <c r="K47" s="10" t="s">
        <v>173</v>
      </c>
      <c r="L47" s="10" t="s">
        <v>177</v>
      </c>
      <c r="M47" s="10" t="s">
        <v>224</v>
      </c>
      <c r="N47" s="10">
        <v>20</v>
      </c>
      <c r="O47" s="12" t="s">
        <v>230</v>
      </c>
      <c r="P47" s="10" t="s">
        <v>275</v>
      </c>
      <c r="Q47" s="10" t="s">
        <v>279</v>
      </c>
      <c r="R47" s="10">
        <v>0</v>
      </c>
    </row>
    <row r="48" spans="1:18" x14ac:dyDescent="0.25">
      <c r="A48" t="s">
        <v>104</v>
      </c>
      <c r="B48" s="11">
        <v>0.03</v>
      </c>
      <c r="C48" s="10">
        <v>29</v>
      </c>
      <c r="D48" s="10">
        <v>22</v>
      </c>
      <c r="E48" s="10" t="s">
        <v>84</v>
      </c>
      <c r="F48" s="10" t="s">
        <v>159</v>
      </c>
      <c r="G48" s="10" t="s">
        <v>162</v>
      </c>
      <c r="H48" s="10" t="s">
        <v>163</v>
      </c>
      <c r="I48" s="10">
        <v>0</v>
      </c>
      <c r="J48" s="10" t="s">
        <v>129</v>
      </c>
      <c r="K48" s="10" t="s">
        <v>173</v>
      </c>
      <c r="L48" s="10" t="s">
        <v>177</v>
      </c>
      <c r="M48" s="10" t="s">
        <v>224</v>
      </c>
      <c r="N48" s="10">
        <v>20</v>
      </c>
      <c r="O48" s="12" t="s">
        <v>230</v>
      </c>
      <c r="P48" s="10" t="s">
        <v>275</v>
      </c>
      <c r="Q48" s="10" t="s">
        <v>279</v>
      </c>
      <c r="R48" s="10">
        <v>0</v>
      </c>
    </row>
    <row r="49" spans="1:18" x14ac:dyDescent="0.25">
      <c r="A49" t="s">
        <v>105</v>
      </c>
      <c r="B49" s="11">
        <v>0.01</v>
      </c>
      <c r="C49" s="10">
        <v>22</v>
      </c>
      <c r="D49" s="10">
        <v>17</v>
      </c>
      <c r="E49" s="10" t="s">
        <v>84</v>
      </c>
      <c r="F49" s="10" t="s">
        <v>159</v>
      </c>
      <c r="G49" s="10" t="s">
        <v>162</v>
      </c>
      <c r="H49" s="10" t="s">
        <v>163</v>
      </c>
      <c r="I49" s="10">
        <v>0</v>
      </c>
      <c r="J49" s="10" t="s">
        <v>129</v>
      </c>
      <c r="K49" s="10" t="s">
        <v>173</v>
      </c>
      <c r="L49" s="10" t="s">
        <v>177</v>
      </c>
      <c r="M49" s="10" t="s">
        <v>224</v>
      </c>
      <c r="N49" s="10">
        <v>20</v>
      </c>
      <c r="O49" s="12" t="s">
        <v>230</v>
      </c>
      <c r="P49" s="10" t="s">
        <v>275</v>
      </c>
      <c r="Q49" s="10" t="s">
        <v>279</v>
      </c>
      <c r="R49" s="10">
        <v>0</v>
      </c>
    </row>
    <row r="50" spans="1:18" x14ac:dyDescent="0.25">
      <c r="A50" t="s">
        <v>106</v>
      </c>
      <c r="B50" s="11">
        <v>0.38</v>
      </c>
      <c r="C50" s="10">
        <v>29</v>
      </c>
      <c r="D50" s="10">
        <v>26</v>
      </c>
      <c r="E50" s="10" t="s">
        <v>85</v>
      </c>
      <c r="F50" s="10" t="s">
        <v>159</v>
      </c>
      <c r="G50" s="10" t="s">
        <v>162</v>
      </c>
      <c r="H50" s="10" t="s">
        <v>163</v>
      </c>
      <c r="I50" s="10">
        <v>0</v>
      </c>
      <c r="J50" s="10" t="s">
        <v>129</v>
      </c>
      <c r="K50" s="10" t="s">
        <v>173</v>
      </c>
      <c r="L50" s="10" t="s">
        <v>177</v>
      </c>
      <c r="M50" s="10" t="s">
        <v>224</v>
      </c>
      <c r="N50" s="10">
        <v>20</v>
      </c>
      <c r="O50" s="12" t="s">
        <v>230</v>
      </c>
      <c r="P50" s="10" t="s">
        <v>275</v>
      </c>
      <c r="Q50" s="10" t="s">
        <v>279</v>
      </c>
      <c r="R50" s="10">
        <v>0</v>
      </c>
    </row>
    <row r="51" spans="1:18" x14ac:dyDescent="0.25">
      <c r="A51" t="s">
        <v>107</v>
      </c>
      <c r="B51" s="11">
        <v>0.49</v>
      </c>
      <c r="C51" s="10">
        <v>21</v>
      </c>
      <c r="D51" s="10">
        <v>25</v>
      </c>
      <c r="E51" s="10" t="s">
        <v>86</v>
      </c>
      <c r="F51" s="10" t="s">
        <v>159</v>
      </c>
      <c r="G51" s="10" t="s">
        <v>162</v>
      </c>
      <c r="H51" s="10" t="s">
        <v>163</v>
      </c>
      <c r="I51" s="10">
        <v>0</v>
      </c>
      <c r="J51" s="10" t="s">
        <v>129</v>
      </c>
      <c r="K51" s="10" t="s">
        <v>173</v>
      </c>
      <c r="L51" s="10" t="s">
        <v>177</v>
      </c>
      <c r="M51" s="10" t="s">
        <v>224</v>
      </c>
      <c r="N51" s="10">
        <v>20</v>
      </c>
      <c r="O51" s="12" t="s">
        <v>230</v>
      </c>
      <c r="P51" s="10" t="s">
        <v>275</v>
      </c>
      <c r="Q51" s="10" t="s">
        <v>279</v>
      </c>
      <c r="R51" s="10">
        <v>0</v>
      </c>
    </row>
    <row r="52" spans="1:18" x14ac:dyDescent="0.25">
      <c r="A52" t="s">
        <v>130</v>
      </c>
      <c r="B52" s="11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2"/>
      <c r="P52" s="10"/>
      <c r="Q52" s="10"/>
      <c r="R52" s="10"/>
    </row>
    <row r="53" spans="1:18" x14ac:dyDescent="0.25">
      <c r="A53" t="s">
        <v>131</v>
      </c>
      <c r="B53" s="11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2"/>
      <c r="P53" s="10"/>
      <c r="Q53" s="10"/>
      <c r="R53" s="10"/>
    </row>
    <row r="54" spans="1:18" x14ac:dyDescent="0.25">
      <c r="A54" t="s">
        <v>132</v>
      </c>
      <c r="B54" s="11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2"/>
      <c r="P54" s="10"/>
      <c r="Q54" s="10"/>
      <c r="R54" s="10"/>
    </row>
    <row r="55" spans="1:18" x14ac:dyDescent="0.25">
      <c r="A55" t="s">
        <v>133</v>
      </c>
      <c r="B55" s="11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2"/>
      <c r="P55" s="10"/>
      <c r="Q55" s="10"/>
      <c r="R55" s="10"/>
    </row>
    <row r="56" spans="1:18" x14ac:dyDescent="0.25">
      <c r="A56" t="s">
        <v>134</v>
      </c>
      <c r="B56" s="11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2"/>
      <c r="P56" s="10"/>
      <c r="Q56" s="10"/>
      <c r="R56" s="10"/>
    </row>
    <row r="57" spans="1:18" x14ac:dyDescent="0.25">
      <c r="A57" t="s">
        <v>135</v>
      </c>
      <c r="B57" s="11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2"/>
      <c r="P57" s="10"/>
      <c r="Q57" s="10"/>
      <c r="R57" s="10"/>
    </row>
    <row r="58" spans="1:18" x14ac:dyDescent="0.25">
      <c r="A58" t="s">
        <v>136</v>
      </c>
      <c r="B58" s="11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2"/>
      <c r="P58" s="10"/>
      <c r="Q58" s="10"/>
      <c r="R58" s="10"/>
    </row>
    <row r="59" spans="1:18" x14ac:dyDescent="0.25">
      <c r="A59" t="s">
        <v>137</v>
      </c>
      <c r="B59" s="11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2"/>
      <c r="P59" s="10"/>
      <c r="Q59" s="10"/>
      <c r="R59" s="10"/>
    </row>
    <row r="60" spans="1:18" x14ac:dyDescent="0.25">
      <c r="A60" t="s">
        <v>138</v>
      </c>
      <c r="B60" s="11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2"/>
      <c r="P60" s="10"/>
      <c r="Q60" s="10"/>
      <c r="R60" s="10"/>
    </row>
    <row r="61" spans="1:18" x14ac:dyDescent="0.25">
      <c r="A61" t="s">
        <v>139</v>
      </c>
      <c r="B61" s="11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2"/>
      <c r="P61" s="10"/>
      <c r="Q61" s="10"/>
      <c r="R61" s="10"/>
    </row>
    <row r="62" spans="1:18" x14ac:dyDescent="0.25">
      <c r="A62" t="s">
        <v>140</v>
      </c>
      <c r="B62" s="11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2"/>
      <c r="P62" s="10"/>
      <c r="Q62" s="10"/>
      <c r="R62" s="10"/>
    </row>
    <row r="63" spans="1:18" x14ac:dyDescent="0.25">
      <c r="A63" t="s">
        <v>141</v>
      </c>
      <c r="B63" s="11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2"/>
      <c r="P63" s="10"/>
      <c r="Q63" s="10"/>
      <c r="R63" s="10"/>
    </row>
    <row r="64" spans="1:18" x14ac:dyDescent="0.25">
      <c r="A64" t="s">
        <v>142</v>
      </c>
      <c r="B64" s="11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2"/>
      <c r="P64" s="10"/>
      <c r="Q64" s="10"/>
      <c r="R64" s="10"/>
    </row>
    <row r="65" spans="1:18" x14ac:dyDescent="0.25">
      <c r="A65" t="s">
        <v>143</v>
      </c>
      <c r="B65" s="11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2"/>
      <c r="P65" s="10"/>
      <c r="Q65" s="10"/>
      <c r="R65" s="10"/>
    </row>
    <row r="66" spans="1:18" x14ac:dyDescent="0.25">
      <c r="A66" t="s">
        <v>144</v>
      </c>
      <c r="B66" s="11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2"/>
      <c r="P66" s="10"/>
      <c r="Q66" s="10"/>
      <c r="R66" s="10"/>
    </row>
    <row r="67" spans="1:18" x14ac:dyDescent="0.25">
      <c r="A67" t="s">
        <v>145</v>
      </c>
      <c r="B67" s="11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2"/>
      <c r="P67" s="10"/>
      <c r="Q67" s="10"/>
      <c r="R67" s="10"/>
    </row>
    <row r="68" spans="1:18" x14ac:dyDescent="0.25">
      <c r="A68" t="s">
        <v>146</v>
      </c>
      <c r="B68" s="11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2"/>
      <c r="P68" s="10"/>
      <c r="Q68" s="10"/>
      <c r="R68" s="10"/>
    </row>
    <row r="69" spans="1:18" x14ac:dyDescent="0.25">
      <c r="A69" t="s">
        <v>147</v>
      </c>
      <c r="B69" s="11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2"/>
      <c r="P69" s="10"/>
      <c r="Q69" s="10"/>
      <c r="R69" s="10"/>
    </row>
    <row r="70" spans="1:18" x14ac:dyDescent="0.25">
      <c r="A70" t="s">
        <v>148</v>
      </c>
      <c r="B70" s="11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2"/>
      <c r="P70" s="10"/>
      <c r="Q70" s="10"/>
      <c r="R70" s="10"/>
    </row>
    <row r="71" spans="1:18" x14ac:dyDescent="0.25">
      <c r="A71" t="s">
        <v>149</v>
      </c>
      <c r="B71" s="11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2"/>
      <c r="P71" s="10"/>
      <c r="Q71" s="10"/>
      <c r="R71" s="10"/>
    </row>
    <row r="72" spans="1:18" x14ac:dyDescent="0.25">
      <c r="A72" t="s">
        <v>150</v>
      </c>
      <c r="B72" s="11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2"/>
      <c r="P72" s="10"/>
      <c r="Q72" s="10"/>
      <c r="R72" s="10"/>
    </row>
    <row r="73" spans="1:18" x14ac:dyDescent="0.25">
      <c r="A73" t="s">
        <v>151</v>
      </c>
      <c r="B73" s="11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2"/>
      <c r="P73" s="10"/>
      <c r="Q73" s="10"/>
      <c r="R73" s="10"/>
    </row>
    <row r="74" spans="1:18" x14ac:dyDescent="0.25">
      <c r="A74" t="s">
        <v>152</v>
      </c>
      <c r="B74" s="11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2"/>
      <c r="P74" s="10"/>
      <c r="Q74" s="10"/>
      <c r="R74" s="10"/>
    </row>
    <row r="75" spans="1:18" x14ac:dyDescent="0.25">
      <c r="A75" t="s">
        <v>153</v>
      </c>
      <c r="B75" s="11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2"/>
      <c r="P75" s="10"/>
      <c r="Q75" s="10"/>
      <c r="R75" s="10"/>
    </row>
    <row r="76" spans="1:18" x14ac:dyDescent="0.25">
      <c r="A76" t="s">
        <v>154</v>
      </c>
      <c r="B76" s="11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2"/>
      <c r="P76" s="10"/>
      <c r="Q76" s="10"/>
      <c r="R76" s="10"/>
    </row>
    <row r="77" spans="1:18" x14ac:dyDescent="0.25">
      <c r="A77" t="s">
        <v>155</v>
      </c>
      <c r="B77" s="11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2"/>
      <c r="P77" s="10"/>
      <c r="Q77" s="10"/>
      <c r="R77" s="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R77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A17" sqref="A17"/>
    </sheetView>
  </sheetViews>
  <sheetFormatPr defaultRowHeight="15" x14ac:dyDescent="0.25"/>
  <cols>
    <col min="2" max="2" width="52" bestFit="1" customWidth="1"/>
    <col min="3" max="3" width="16.5703125" bestFit="1" customWidth="1"/>
    <col min="4" max="5" width="9.42578125" bestFit="1" customWidth="1"/>
    <col min="6" max="6" width="7" bestFit="1" customWidth="1"/>
    <col min="7" max="7" width="13.85546875" bestFit="1" customWidth="1"/>
    <col min="8" max="8" width="13.7109375" bestFit="1" customWidth="1"/>
    <col min="9" max="9" width="13.42578125" bestFit="1" customWidth="1"/>
    <col min="10" max="10" width="12.140625" bestFit="1" customWidth="1"/>
    <col min="11" max="11" width="15.42578125" bestFit="1" customWidth="1"/>
    <col min="12" max="12" width="13.28515625" bestFit="1" customWidth="1"/>
    <col min="13" max="13" width="64.42578125" bestFit="1" customWidth="1"/>
    <col min="14" max="14" width="6" bestFit="1" customWidth="1"/>
    <col min="15" max="15" width="14.42578125" bestFit="1" customWidth="1"/>
    <col min="16" max="16" width="63.7109375" bestFit="1" customWidth="1"/>
    <col min="17" max="17" width="23.42578125" bestFit="1" customWidth="1"/>
    <col min="18" max="18" width="46.85546875" bestFit="1" customWidth="1"/>
  </cols>
  <sheetData>
    <row r="2" spans="1:18" x14ac:dyDescent="0.25">
      <c r="B2" s="7" t="s">
        <v>283</v>
      </c>
    </row>
    <row r="3" spans="1:18" x14ac:dyDescent="0.25">
      <c r="B3" s="1" t="s">
        <v>1</v>
      </c>
      <c r="C3" s="1" t="s">
        <v>1</v>
      </c>
      <c r="D3" s="1" t="s">
        <v>1</v>
      </c>
      <c r="E3" s="1" t="s">
        <v>1</v>
      </c>
      <c r="F3" s="1"/>
      <c r="G3" s="1"/>
      <c r="H3" s="1"/>
      <c r="I3" s="1"/>
      <c r="J3" s="1"/>
      <c r="K3" s="1" t="s">
        <v>1</v>
      </c>
      <c r="L3" s="1" t="s">
        <v>1</v>
      </c>
      <c r="M3" s="1" t="s">
        <v>1</v>
      </c>
      <c r="N3" s="1"/>
      <c r="O3" s="1" t="s">
        <v>1</v>
      </c>
      <c r="P3" s="1" t="s">
        <v>1</v>
      </c>
      <c r="Q3" s="1" t="s">
        <v>1</v>
      </c>
      <c r="R3" s="1" t="s">
        <v>1</v>
      </c>
    </row>
    <row r="4" spans="1:18" x14ac:dyDescent="0.25">
      <c r="A4" s="8" t="s">
        <v>128</v>
      </c>
      <c r="B4" s="2" t="s">
        <v>3</v>
      </c>
      <c r="C4" s="1" t="s">
        <v>4</v>
      </c>
      <c r="D4" s="1" t="s">
        <v>5</v>
      </c>
      <c r="E4" s="1" t="s">
        <v>6</v>
      </c>
      <c r="F4" s="1" t="s">
        <v>2</v>
      </c>
      <c r="G4" s="1" t="s">
        <v>7</v>
      </c>
      <c r="H4" s="1" t="s">
        <v>8</v>
      </c>
      <c r="I4" s="1" t="s">
        <v>9</v>
      </c>
      <c r="J4" s="1" t="s">
        <v>10</v>
      </c>
      <c r="K4" s="1" t="s">
        <v>11</v>
      </c>
      <c r="L4" s="1" t="s">
        <v>12</v>
      </c>
      <c r="M4" s="2" t="s">
        <v>13</v>
      </c>
      <c r="N4" s="2" t="s">
        <v>14</v>
      </c>
      <c r="O4" s="3" t="s">
        <v>15</v>
      </c>
      <c r="P4" s="1" t="s">
        <v>16</v>
      </c>
      <c r="Q4" s="1" t="s">
        <v>17</v>
      </c>
      <c r="R4" s="1" t="s">
        <v>280</v>
      </c>
    </row>
    <row r="5" spans="1:18" x14ac:dyDescent="0.25">
      <c r="A5" t="s">
        <v>128</v>
      </c>
      <c r="B5" t="s">
        <v>18</v>
      </c>
      <c r="C5" s="4">
        <v>0.28000000000000003</v>
      </c>
      <c r="D5">
        <v>53</v>
      </c>
      <c r="E5">
        <v>30</v>
      </c>
      <c r="F5" t="s">
        <v>83</v>
      </c>
      <c r="G5" t="s">
        <v>156</v>
      </c>
      <c r="H5" t="s">
        <v>160</v>
      </c>
      <c r="I5" t="s">
        <v>163</v>
      </c>
      <c r="J5" t="s">
        <v>128</v>
      </c>
      <c r="K5" t="s">
        <v>166</v>
      </c>
      <c r="L5" t="s">
        <v>174</v>
      </c>
      <c r="M5" t="s">
        <v>178</v>
      </c>
      <c r="N5" t="s">
        <v>225</v>
      </c>
      <c r="O5" s="6" t="s">
        <v>228</v>
      </c>
      <c r="P5" t="s">
        <v>231</v>
      </c>
      <c r="Q5" t="s">
        <v>276</v>
      </c>
      <c r="R5" t="s">
        <v>18</v>
      </c>
    </row>
    <row r="6" spans="1:18" x14ac:dyDescent="0.25">
      <c r="A6" t="s">
        <v>128</v>
      </c>
      <c r="B6" t="s">
        <v>20</v>
      </c>
      <c r="C6" t="s">
        <v>19</v>
      </c>
      <c r="D6">
        <v>41</v>
      </c>
      <c r="E6">
        <v>26</v>
      </c>
      <c r="F6" t="s">
        <v>83</v>
      </c>
      <c r="G6" t="s">
        <v>156</v>
      </c>
      <c r="H6" t="s">
        <v>160</v>
      </c>
      <c r="I6" t="s">
        <v>164</v>
      </c>
      <c r="J6" t="s">
        <v>128</v>
      </c>
      <c r="K6" t="s">
        <v>166</v>
      </c>
      <c r="L6" t="s">
        <v>174</v>
      </c>
      <c r="M6" t="s">
        <v>179</v>
      </c>
      <c r="N6" t="s">
        <v>225</v>
      </c>
      <c r="O6" s="6" t="s">
        <v>229</v>
      </c>
      <c r="P6" t="s">
        <v>232</v>
      </c>
      <c r="Q6" t="s">
        <v>276</v>
      </c>
      <c r="R6" t="s">
        <v>87</v>
      </c>
    </row>
    <row r="7" spans="1:18" x14ac:dyDescent="0.25">
      <c r="A7" t="s">
        <v>128</v>
      </c>
      <c r="B7" t="s">
        <v>21</v>
      </c>
      <c r="C7" s="4">
        <v>0.13</v>
      </c>
      <c r="D7">
        <v>29</v>
      </c>
      <c r="E7">
        <v>26</v>
      </c>
      <c r="F7" t="s">
        <v>84</v>
      </c>
      <c r="G7" t="s">
        <v>156</v>
      </c>
      <c r="H7" t="s">
        <v>160</v>
      </c>
      <c r="I7" t="s">
        <v>164</v>
      </c>
      <c r="J7" t="s">
        <v>128</v>
      </c>
      <c r="K7" t="s">
        <v>166</v>
      </c>
      <c r="L7" t="s">
        <v>174</v>
      </c>
      <c r="M7" t="s">
        <v>180</v>
      </c>
      <c r="N7" t="s">
        <v>225</v>
      </c>
      <c r="O7" s="6" t="s">
        <v>230</v>
      </c>
      <c r="P7" t="s">
        <v>233</v>
      </c>
      <c r="Q7" t="s">
        <v>276</v>
      </c>
      <c r="R7" t="s">
        <v>88</v>
      </c>
    </row>
    <row r="8" spans="1:18" x14ac:dyDescent="0.25">
      <c r="A8" t="s">
        <v>128</v>
      </c>
      <c r="B8" t="s">
        <v>22</v>
      </c>
      <c r="C8" s="4">
        <v>0.04</v>
      </c>
      <c r="D8">
        <v>55</v>
      </c>
      <c r="E8">
        <v>32</v>
      </c>
      <c r="F8" t="s">
        <v>84</v>
      </c>
      <c r="G8" t="s">
        <v>156</v>
      </c>
      <c r="H8" t="s">
        <v>160</v>
      </c>
      <c r="I8" t="s">
        <v>165</v>
      </c>
      <c r="J8" t="s">
        <v>128</v>
      </c>
      <c r="K8" t="s">
        <v>166</v>
      </c>
      <c r="L8" t="s">
        <v>174</v>
      </c>
      <c r="M8" t="s">
        <v>181</v>
      </c>
      <c r="N8" t="s">
        <v>225</v>
      </c>
      <c r="O8" s="6" t="s">
        <v>228</v>
      </c>
      <c r="P8" t="s">
        <v>234</v>
      </c>
      <c r="Q8" t="s">
        <v>276</v>
      </c>
      <c r="R8" t="s">
        <v>89</v>
      </c>
    </row>
    <row r="9" spans="1:18" x14ac:dyDescent="0.25">
      <c r="A9" t="s">
        <v>128</v>
      </c>
      <c r="B9" t="s">
        <v>23</v>
      </c>
      <c r="C9" s="4">
        <v>0.52</v>
      </c>
      <c r="D9">
        <v>1</v>
      </c>
      <c r="E9">
        <v>27</v>
      </c>
      <c r="F9" t="s">
        <v>84</v>
      </c>
      <c r="G9" t="s">
        <v>156</v>
      </c>
      <c r="H9" t="s">
        <v>160</v>
      </c>
      <c r="I9" t="s">
        <v>165</v>
      </c>
      <c r="J9" t="s">
        <v>128</v>
      </c>
      <c r="K9" t="s">
        <v>167</v>
      </c>
      <c r="L9" t="s">
        <v>174</v>
      </c>
      <c r="M9" t="s">
        <v>182</v>
      </c>
      <c r="N9" t="s">
        <v>225</v>
      </c>
      <c r="O9" s="6" t="s">
        <v>229</v>
      </c>
      <c r="P9" t="s">
        <v>235</v>
      </c>
      <c r="Q9" t="s">
        <v>276</v>
      </c>
      <c r="R9" t="s">
        <v>23</v>
      </c>
    </row>
    <row r="10" spans="1:18" x14ac:dyDescent="0.25">
      <c r="A10" t="s">
        <v>128</v>
      </c>
      <c r="B10" t="s">
        <v>24</v>
      </c>
      <c r="C10" s="4">
        <v>0.02</v>
      </c>
      <c r="D10">
        <v>34</v>
      </c>
      <c r="E10">
        <v>24</v>
      </c>
      <c r="F10" t="s">
        <v>83</v>
      </c>
      <c r="G10" t="s">
        <v>156</v>
      </c>
      <c r="H10" t="s">
        <v>160</v>
      </c>
      <c r="I10" t="s">
        <v>165</v>
      </c>
      <c r="J10" t="s">
        <v>128</v>
      </c>
      <c r="K10" t="s">
        <v>167</v>
      </c>
      <c r="L10" t="s">
        <v>175</v>
      </c>
      <c r="M10" t="s">
        <v>183</v>
      </c>
      <c r="N10" t="s">
        <v>225</v>
      </c>
      <c r="O10" s="6" t="s">
        <v>230</v>
      </c>
      <c r="P10" t="s">
        <v>236</v>
      </c>
      <c r="Q10" t="s">
        <v>276</v>
      </c>
      <c r="R10" t="s">
        <v>90</v>
      </c>
    </row>
    <row r="11" spans="1:18" x14ac:dyDescent="0.25">
      <c r="A11" t="s">
        <v>128</v>
      </c>
      <c r="B11" t="s">
        <v>25</v>
      </c>
      <c r="C11" s="4">
        <v>7.0000000000000007E-2</v>
      </c>
      <c r="D11">
        <v>6</v>
      </c>
      <c r="E11">
        <v>12</v>
      </c>
      <c r="F11" t="s">
        <v>83</v>
      </c>
      <c r="G11" t="s">
        <v>156</v>
      </c>
      <c r="H11" t="s">
        <v>160</v>
      </c>
      <c r="I11" t="s">
        <v>165</v>
      </c>
      <c r="J11" t="s">
        <v>128</v>
      </c>
      <c r="K11" t="s">
        <v>167</v>
      </c>
      <c r="L11" t="s">
        <v>175</v>
      </c>
      <c r="M11" t="s">
        <v>184</v>
      </c>
      <c r="N11" t="s">
        <v>225</v>
      </c>
      <c r="O11" s="6" t="s">
        <v>228</v>
      </c>
      <c r="P11" t="s">
        <v>237</v>
      </c>
      <c r="Q11" t="s">
        <v>277</v>
      </c>
      <c r="R11" t="s">
        <v>25</v>
      </c>
    </row>
    <row r="12" spans="1:18" x14ac:dyDescent="0.25">
      <c r="A12" t="s">
        <v>128</v>
      </c>
      <c r="B12" t="s">
        <v>26</v>
      </c>
      <c r="C12" s="4">
        <v>7.0000000000000007E-2</v>
      </c>
      <c r="D12">
        <v>11</v>
      </c>
      <c r="E12">
        <v>12</v>
      </c>
      <c r="F12" t="s">
        <v>84</v>
      </c>
      <c r="G12" t="s">
        <v>156</v>
      </c>
      <c r="H12" t="s">
        <v>160</v>
      </c>
      <c r="I12" t="s">
        <v>165</v>
      </c>
      <c r="J12" t="s">
        <v>128</v>
      </c>
      <c r="K12" t="s">
        <v>168</v>
      </c>
      <c r="L12" t="s">
        <v>175</v>
      </c>
      <c r="M12" t="s">
        <v>185</v>
      </c>
      <c r="N12" t="s">
        <v>225</v>
      </c>
      <c r="O12" s="6" t="s">
        <v>229</v>
      </c>
      <c r="P12" t="s">
        <v>238</v>
      </c>
      <c r="Q12" t="s">
        <v>278</v>
      </c>
      <c r="R12" t="s">
        <v>26</v>
      </c>
    </row>
    <row r="13" spans="1:18" x14ac:dyDescent="0.25">
      <c r="A13" t="s">
        <v>128</v>
      </c>
      <c r="B13" t="s">
        <v>27</v>
      </c>
      <c r="C13" s="4">
        <v>7.0000000000000007E-2</v>
      </c>
      <c r="D13">
        <v>11</v>
      </c>
      <c r="E13">
        <v>11</v>
      </c>
      <c r="F13" t="s">
        <v>84</v>
      </c>
      <c r="G13" t="s">
        <v>157</v>
      </c>
      <c r="H13" t="s">
        <v>91</v>
      </c>
      <c r="I13" t="s">
        <v>165</v>
      </c>
      <c r="J13" t="s">
        <v>128</v>
      </c>
      <c r="K13" t="s">
        <v>168</v>
      </c>
      <c r="L13" t="s">
        <v>175</v>
      </c>
      <c r="M13" t="s">
        <v>186</v>
      </c>
      <c r="N13" t="s">
        <v>225</v>
      </c>
      <c r="O13" s="6" t="s">
        <v>230</v>
      </c>
      <c r="P13" t="s">
        <v>239</v>
      </c>
      <c r="Q13" t="s">
        <v>278</v>
      </c>
      <c r="R13" t="s">
        <v>27</v>
      </c>
    </row>
    <row r="14" spans="1:18" x14ac:dyDescent="0.25">
      <c r="A14" t="s">
        <v>128</v>
      </c>
      <c r="B14" t="s">
        <v>28</v>
      </c>
      <c r="C14" s="4">
        <v>0.08</v>
      </c>
      <c r="D14">
        <v>11</v>
      </c>
      <c r="E14">
        <v>11</v>
      </c>
      <c r="F14" t="s">
        <v>84</v>
      </c>
      <c r="G14" t="s">
        <v>157</v>
      </c>
      <c r="H14" t="s">
        <v>91</v>
      </c>
      <c r="I14" t="s">
        <v>163</v>
      </c>
      <c r="J14" t="s">
        <v>128</v>
      </c>
      <c r="K14" t="s">
        <v>168</v>
      </c>
      <c r="L14" t="s">
        <v>175</v>
      </c>
      <c r="M14" t="s">
        <v>187</v>
      </c>
      <c r="N14" t="s">
        <v>226</v>
      </c>
      <c r="O14" s="6" t="s">
        <v>228</v>
      </c>
      <c r="P14" t="s">
        <v>240</v>
      </c>
      <c r="Q14" t="s">
        <v>278</v>
      </c>
      <c r="R14" t="s">
        <v>28</v>
      </c>
    </row>
    <row r="15" spans="1:18" x14ac:dyDescent="0.25">
      <c r="A15" t="s">
        <v>128</v>
      </c>
      <c r="B15" t="s">
        <v>29</v>
      </c>
      <c r="C15" s="4">
        <v>7.0000000000000007E-2</v>
      </c>
      <c r="D15">
        <v>12</v>
      </c>
      <c r="E15">
        <v>12</v>
      </c>
      <c r="F15" t="s">
        <v>83</v>
      </c>
      <c r="G15" t="s">
        <v>157</v>
      </c>
      <c r="H15" t="s">
        <v>91</v>
      </c>
      <c r="I15" t="s">
        <v>164</v>
      </c>
      <c r="J15" t="s">
        <v>128</v>
      </c>
      <c r="K15" t="s">
        <v>168</v>
      </c>
      <c r="L15" t="s">
        <v>176</v>
      </c>
      <c r="M15" t="s">
        <v>188</v>
      </c>
      <c r="N15" t="s">
        <v>226</v>
      </c>
      <c r="O15" s="6" t="s">
        <v>229</v>
      </c>
      <c r="P15" t="s">
        <v>241</v>
      </c>
      <c r="Q15" t="s">
        <v>278</v>
      </c>
      <c r="R15" t="s">
        <v>29</v>
      </c>
    </row>
    <row r="16" spans="1:18" x14ac:dyDescent="0.25">
      <c r="A16" t="s">
        <v>128</v>
      </c>
      <c r="B16" t="s">
        <v>30</v>
      </c>
      <c r="C16" s="4">
        <v>0.06</v>
      </c>
      <c r="D16">
        <v>1</v>
      </c>
      <c r="E16">
        <v>3</v>
      </c>
      <c r="F16" t="s">
        <v>83</v>
      </c>
      <c r="G16" t="s">
        <v>158</v>
      </c>
      <c r="H16" t="s">
        <v>91</v>
      </c>
      <c r="I16" t="s">
        <v>164</v>
      </c>
      <c r="J16" t="s">
        <v>128</v>
      </c>
      <c r="K16" t="s">
        <v>169</v>
      </c>
      <c r="L16" t="s">
        <v>176</v>
      </c>
      <c r="M16" t="s">
        <v>189</v>
      </c>
      <c r="N16" t="s">
        <v>226</v>
      </c>
      <c r="O16" s="6" t="s">
        <v>230</v>
      </c>
      <c r="P16" t="s">
        <v>242</v>
      </c>
      <c r="Q16" t="s">
        <v>278</v>
      </c>
      <c r="R16" t="s">
        <v>30</v>
      </c>
    </row>
    <row r="17" spans="1:18" x14ac:dyDescent="0.25">
      <c r="A17" t="s">
        <v>128</v>
      </c>
      <c r="B17" t="s">
        <v>31</v>
      </c>
      <c r="C17" s="4">
        <v>7.0000000000000007E-2</v>
      </c>
      <c r="D17">
        <v>12</v>
      </c>
      <c r="E17">
        <v>13</v>
      </c>
      <c r="F17" t="s">
        <v>84</v>
      </c>
      <c r="G17" t="s">
        <v>158</v>
      </c>
      <c r="H17" t="s">
        <v>91</v>
      </c>
      <c r="I17" t="s">
        <v>165</v>
      </c>
      <c r="J17" t="s">
        <v>128</v>
      </c>
      <c r="K17" t="s">
        <v>169</v>
      </c>
      <c r="L17" t="s">
        <v>176</v>
      </c>
      <c r="M17" t="s">
        <v>190</v>
      </c>
      <c r="N17" t="s">
        <v>226</v>
      </c>
      <c r="O17" s="6" t="s">
        <v>228</v>
      </c>
      <c r="P17" t="s">
        <v>243</v>
      </c>
      <c r="Q17" t="s">
        <v>278</v>
      </c>
      <c r="R17" t="s">
        <v>31</v>
      </c>
    </row>
    <row r="18" spans="1:18" x14ac:dyDescent="0.25">
      <c r="A18" t="s">
        <v>128</v>
      </c>
      <c r="B18" t="s">
        <v>32</v>
      </c>
      <c r="C18" s="4">
        <v>7.0000000000000007E-2</v>
      </c>
      <c r="D18">
        <v>1</v>
      </c>
      <c r="E18">
        <v>3</v>
      </c>
      <c r="F18" t="s">
        <v>84</v>
      </c>
      <c r="G18" t="s">
        <v>158</v>
      </c>
      <c r="H18" t="s">
        <v>161</v>
      </c>
      <c r="I18" t="s">
        <v>165</v>
      </c>
      <c r="J18" t="s">
        <v>128</v>
      </c>
      <c r="K18" t="s">
        <v>169</v>
      </c>
      <c r="L18" t="s">
        <v>176</v>
      </c>
      <c r="M18" t="s">
        <v>191</v>
      </c>
      <c r="N18" t="s">
        <v>226</v>
      </c>
      <c r="O18" s="6" t="s">
        <v>229</v>
      </c>
      <c r="P18" t="s">
        <v>244</v>
      </c>
      <c r="Q18" t="s">
        <v>278</v>
      </c>
      <c r="R18" t="s">
        <v>32</v>
      </c>
    </row>
    <row r="19" spans="1:18" x14ac:dyDescent="0.25">
      <c r="A19" t="s">
        <v>128</v>
      </c>
      <c r="B19" t="s">
        <v>33</v>
      </c>
      <c r="C19" s="4">
        <v>7.0000000000000007E-2</v>
      </c>
      <c r="D19">
        <v>13</v>
      </c>
      <c r="E19">
        <v>17</v>
      </c>
      <c r="F19" t="s">
        <v>84</v>
      </c>
      <c r="G19" t="s">
        <v>158</v>
      </c>
      <c r="H19" t="s">
        <v>161</v>
      </c>
      <c r="I19" t="s">
        <v>165</v>
      </c>
      <c r="J19" t="s">
        <v>128</v>
      </c>
      <c r="K19" t="s">
        <v>170</v>
      </c>
      <c r="L19" t="s">
        <v>176</v>
      </c>
      <c r="M19" t="s">
        <v>192</v>
      </c>
      <c r="N19" t="s">
        <v>226</v>
      </c>
      <c r="O19" s="6" t="s">
        <v>230</v>
      </c>
      <c r="P19" t="s">
        <v>245</v>
      </c>
      <c r="Q19" t="s">
        <v>278</v>
      </c>
      <c r="R19" t="s">
        <v>33</v>
      </c>
    </row>
    <row r="20" spans="1:18" x14ac:dyDescent="0.25">
      <c r="A20" t="s">
        <v>128</v>
      </c>
      <c r="B20" t="s">
        <v>34</v>
      </c>
      <c r="C20" s="4">
        <v>0.06</v>
      </c>
      <c r="D20">
        <v>1</v>
      </c>
      <c r="E20">
        <v>3</v>
      </c>
      <c r="F20" t="s">
        <v>83</v>
      </c>
      <c r="G20" t="s">
        <v>159</v>
      </c>
      <c r="H20" t="s">
        <v>161</v>
      </c>
      <c r="I20" t="s">
        <v>165</v>
      </c>
      <c r="J20" t="s">
        <v>128</v>
      </c>
      <c r="K20" t="s">
        <v>171</v>
      </c>
      <c r="L20" t="s">
        <v>176</v>
      </c>
      <c r="M20" t="s">
        <v>193</v>
      </c>
      <c r="N20" t="s">
        <v>226</v>
      </c>
      <c r="O20" s="6" t="s">
        <v>228</v>
      </c>
      <c r="P20" t="s">
        <v>246</v>
      </c>
      <c r="Q20" t="s">
        <v>279</v>
      </c>
      <c r="R20" t="s">
        <v>34</v>
      </c>
    </row>
    <row r="21" spans="1:18" x14ac:dyDescent="0.25">
      <c r="A21" t="s">
        <v>128</v>
      </c>
      <c r="B21" t="s">
        <v>35</v>
      </c>
      <c r="C21" s="4">
        <v>0.05</v>
      </c>
      <c r="D21">
        <v>1</v>
      </c>
      <c r="E21">
        <v>1</v>
      </c>
      <c r="F21" t="s">
        <v>83</v>
      </c>
      <c r="G21" t="s">
        <v>159</v>
      </c>
      <c r="H21" t="s">
        <v>161</v>
      </c>
      <c r="I21" t="s">
        <v>165</v>
      </c>
      <c r="J21" t="s">
        <v>128</v>
      </c>
      <c r="K21" t="s">
        <v>172</v>
      </c>
      <c r="L21" t="s">
        <v>177</v>
      </c>
      <c r="M21" t="s">
        <v>194</v>
      </c>
      <c r="N21" t="s">
        <v>226</v>
      </c>
      <c r="O21" s="6" t="s">
        <v>229</v>
      </c>
      <c r="P21" t="s">
        <v>247</v>
      </c>
      <c r="Q21" t="s">
        <v>279</v>
      </c>
      <c r="R21" t="s">
        <v>35</v>
      </c>
    </row>
    <row r="22" spans="1:18" x14ac:dyDescent="0.25">
      <c r="A22" t="s">
        <v>128</v>
      </c>
      <c r="B22" t="s">
        <v>36</v>
      </c>
      <c r="C22" s="4">
        <v>0.06</v>
      </c>
      <c r="D22">
        <v>12</v>
      </c>
      <c r="E22">
        <v>17</v>
      </c>
      <c r="F22" t="s">
        <v>84</v>
      </c>
      <c r="G22" t="s">
        <v>159</v>
      </c>
      <c r="H22" t="s">
        <v>161</v>
      </c>
      <c r="I22" t="s">
        <v>165</v>
      </c>
      <c r="J22" t="s">
        <v>128</v>
      </c>
      <c r="K22" t="s">
        <v>172</v>
      </c>
      <c r="L22" t="s">
        <v>177</v>
      </c>
      <c r="M22" t="s">
        <v>195</v>
      </c>
      <c r="N22" t="s">
        <v>226</v>
      </c>
      <c r="O22" s="6" t="s">
        <v>230</v>
      </c>
      <c r="P22" t="s">
        <v>248</v>
      </c>
      <c r="Q22" t="s">
        <v>279</v>
      </c>
      <c r="R22" t="s">
        <v>36</v>
      </c>
    </row>
    <row r="23" spans="1:18" x14ac:dyDescent="0.25">
      <c r="A23" t="s">
        <v>128</v>
      </c>
      <c r="B23" t="s">
        <v>37</v>
      </c>
      <c r="C23" s="4">
        <v>0.32</v>
      </c>
      <c r="D23">
        <v>21</v>
      </c>
      <c r="E23">
        <v>19</v>
      </c>
      <c r="F23" t="s">
        <v>84</v>
      </c>
      <c r="G23" t="s">
        <v>159</v>
      </c>
      <c r="H23" t="s">
        <v>162</v>
      </c>
      <c r="I23" t="s">
        <v>163</v>
      </c>
      <c r="J23" t="s">
        <v>128</v>
      </c>
      <c r="K23" t="s">
        <v>172</v>
      </c>
      <c r="L23" t="s">
        <v>177</v>
      </c>
      <c r="M23" t="s">
        <v>196</v>
      </c>
      <c r="N23" t="s">
        <v>226</v>
      </c>
      <c r="O23" s="6" t="s">
        <v>228</v>
      </c>
      <c r="P23" t="s">
        <v>249</v>
      </c>
      <c r="Q23" t="s">
        <v>279</v>
      </c>
      <c r="R23" t="s">
        <v>37</v>
      </c>
    </row>
    <row r="24" spans="1:18" x14ac:dyDescent="0.25">
      <c r="A24" t="s">
        <v>128</v>
      </c>
      <c r="B24" t="s">
        <v>38</v>
      </c>
      <c r="C24" s="4">
        <v>7.0000000000000007E-2</v>
      </c>
      <c r="D24">
        <v>12</v>
      </c>
      <c r="E24">
        <v>17</v>
      </c>
      <c r="F24" t="s">
        <v>84</v>
      </c>
      <c r="G24" t="s">
        <v>159</v>
      </c>
      <c r="H24" t="s">
        <v>162</v>
      </c>
      <c r="I24" t="s">
        <v>164</v>
      </c>
      <c r="J24" t="s">
        <v>128</v>
      </c>
      <c r="K24" t="s">
        <v>173</v>
      </c>
      <c r="L24" t="s">
        <v>177</v>
      </c>
      <c r="M24" t="s">
        <v>197</v>
      </c>
      <c r="N24" t="s">
        <v>226</v>
      </c>
      <c r="O24" s="6" t="s">
        <v>229</v>
      </c>
      <c r="P24" t="s">
        <v>250</v>
      </c>
      <c r="Q24" t="s">
        <v>279</v>
      </c>
      <c r="R24" t="s">
        <v>38</v>
      </c>
    </row>
    <row r="25" spans="1:18" x14ac:dyDescent="0.25">
      <c r="A25" t="s">
        <v>128</v>
      </c>
      <c r="B25" t="s">
        <v>39</v>
      </c>
      <c r="C25" s="4">
        <v>0.05</v>
      </c>
      <c r="D25">
        <v>14</v>
      </c>
      <c r="E25">
        <v>16</v>
      </c>
      <c r="F25" t="s">
        <v>85</v>
      </c>
      <c r="G25" t="s">
        <v>159</v>
      </c>
      <c r="H25" t="s">
        <v>162</v>
      </c>
      <c r="I25" t="s">
        <v>164</v>
      </c>
      <c r="J25" t="s">
        <v>128</v>
      </c>
      <c r="K25" t="s">
        <v>173</v>
      </c>
      <c r="L25" t="s">
        <v>177</v>
      </c>
      <c r="M25" t="s">
        <v>198</v>
      </c>
      <c r="N25" t="s">
        <v>226</v>
      </c>
      <c r="O25" s="6" t="s">
        <v>230</v>
      </c>
      <c r="P25" t="s">
        <v>251</v>
      </c>
      <c r="Q25" t="s">
        <v>279</v>
      </c>
      <c r="R25" t="s">
        <v>39</v>
      </c>
    </row>
    <row r="26" spans="1:18" x14ac:dyDescent="0.25">
      <c r="A26" t="s">
        <v>128</v>
      </c>
      <c r="B26" t="s">
        <v>40</v>
      </c>
      <c r="C26" t="s">
        <v>19</v>
      </c>
      <c r="D26">
        <v>29</v>
      </c>
      <c r="E26">
        <v>18</v>
      </c>
      <c r="F26" t="s">
        <v>86</v>
      </c>
      <c r="G26" t="s">
        <v>159</v>
      </c>
      <c r="H26" t="s">
        <v>162</v>
      </c>
      <c r="I26" t="s">
        <v>165</v>
      </c>
      <c r="J26" t="s">
        <v>128</v>
      </c>
      <c r="K26" t="s">
        <v>173</v>
      </c>
      <c r="L26" t="s">
        <v>177</v>
      </c>
      <c r="M26" t="s">
        <v>199</v>
      </c>
      <c r="N26" t="s">
        <v>226</v>
      </c>
      <c r="O26" s="6" t="s">
        <v>228</v>
      </c>
      <c r="P26" t="s">
        <v>252</v>
      </c>
      <c r="Q26" t="s">
        <v>279</v>
      </c>
      <c r="R26" t="s">
        <v>40</v>
      </c>
    </row>
    <row r="27" spans="1:18" x14ac:dyDescent="0.25">
      <c r="A27" t="s">
        <v>128</v>
      </c>
      <c r="B27" t="s">
        <v>41</v>
      </c>
      <c r="C27" s="4">
        <v>0.08</v>
      </c>
      <c r="D27">
        <v>16</v>
      </c>
      <c r="E27">
        <v>17</v>
      </c>
      <c r="F27" t="s">
        <v>83</v>
      </c>
      <c r="G27" t="s">
        <v>159</v>
      </c>
      <c r="H27" t="s">
        <v>162</v>
      </c>
      <c r="I27" t="s">
        <v>165</v>
      </c>
      <c r="J27" t="s">
        <v>128</v>
      </c>
      <c r="K27" t="s">
        <v>173</v>
      </c>
      <c r="L27" t="s">
        <v>177</v>
      </c>
      <c r="M27" t="s">
        <v>200</v>
      </c>
      <c r="N27" t="s">
        <v>226</v>
      </c>
      <c r="O27" s="6" t="s">
        <v>229</v>
      </c>
      <c r="P27" t="s">
        <v>253</v>
      </c>
      <c r="Q27" t="s">
        <v>279</v>
      </c>
      <c r="R27" t="s">
        <v>41</v>
      </c>
    </row>
    <row r="28" spans="1:18" x14ac:dyDescent="0.25">
      <c r="A28" t="s">
        <v>128</v>
      </c>
      <c r="B28" t="s">
        <v>42</v>
      </c>
      <c r="C28" s="4">
        <v>0.01</v>
      </c>
      <c r="D28">
        <v>12</v>
      </c>
      <c r="E28">
        <v>17</v>
      </c>
      <c r="F28" t="s">
        <v>83</v>
      </c>
      <c r="G28" t="s">
        <v>159</v>
      </c>
      <c r="H28" t="s">
        <v>160</v>
      </c>
      <c r="I28" t="s">
        <v>165</v>
      </c>
      <c r="J28" t="s">
        <v>128</v>
      </c>
      <c r="K28" t="s">
        <v>173</v>
      </c>
      <c r="L28" t="s">
        <v>177</v>
      </c>
      <c r="M28" t="s">
        <v>201</v>
      </c>
      <c r="N28" t="s">
        <v>226</v>
      </c>
      <c r="O28" s="6" t="s">
        <v>230</v>
      </c>
      <c r="P28" t="s">
        <v>254</v>
      </c>
      <c r="Q28" t="s">
        <v>279</v>
      </c>
      <c r="R28" t="s">
        <v>92</v>
      </c>
    </row>
    <row r="29" spans="1:18" x14ac:dyDescent="0.25">
      <c r="A29" t="s">
        <v>128</v>
      </c>
      <c r="B29" t="s">
        <v>43</v>
      </c>
      <c r="C29" s="4">
        <v>0.28000000000000003</v>
      </c>
      <c r="D29">
        <v>36</v>
      </c>
      <c r="E29">
        <v>26</v>
      </c>
      <c r="F29" t="s">
        <v>84</v>
      </c>
      <c r="G29" t="s">
        <v>159</v>
      </c>
      <c r="H29" t="s">
        <v>160</v>
      </c>
      <c r="I29" t="s">
        <v>165</v>
      </c>
      <c r="J29" t="s">
        <v>128</v>
      </c>
      <c r="K29" t="s">
        <v>173</v>
      </c>
      <c r="L29" t="s">
        <v>177</v>
      </c>
      <c r="M29" t="s">
        <v>202</v>
      </c>
      <c r="N29" t="s">
        <v>226</v>
      </c>
      <c r="O29" s="6" t="s">
        <v>228</v>
      </c>
      <c r="P29" t="s">
        <v>255</v>
      </c>
      <c r="Q29" t="s">
        <v>279</v>
      </c>
      <c r="R29" t="s">
        <v>43</v>
      </c>
    </row>
    <row r="30" spans="1:18" x14ac:dyDescent="0.25">
      <c r="A30" t="s">
        <v>128</v>
      </c>
      <c r="B30" t="s">
        <v>44</v>
      </c>
      <c r="C30" s="4">
        <v>0.02</v>
      </c>
      <c r="D30">
        <v>19</v>
      </c>
      <c r="E30">
        <v>24</v>
      </c>
      <c r="F30" t="s">
        <v>84</v>
      </c>
      <c r="G30" t="s">
        <v>159</v>
      </c>
      <c r="H30" t="s">
        <v>160</v>
      </c>
      <c r="I30" t="s">
        <v>165</v>
      </c>
      <c r="J30" t="s">
        <v>128</v>
      </c>
      <c r="K30" t="s">
        <v>166</v>
      </c>
      <c r="L30" t="s">
        <v>177</v>
      </c>
      <c r="M30" t="s">
        <v>203</v>
      </c>
      <c r="N30" t="s">
        <v>227</v>
      </c>
      <c r="O30" s="6" t="s">
        <v>229</v>
      </c>
      <c r="P30" t="s">
        <v>256</v>
      </c>
      <c r="Q30" t="s">
        <v>279</v>
      </c>
      <c r="R30" t="s">
        <v>44</v>
      </c>
    </row>
    <row r="31" spans="1:18" x14ac:dyDescent="0.25">
      <c r="A31" t="s">
        <v>128</v>
      </c>
      <c r="B31" t="s">
        <v>45</v>
      </c>
      <c r="C31" s="4">
        <v>0.05</v>
      </c>
      <c r="D31">
        <v>14</v>
      </c>
      <c r="E31">
        <v>13</v>
      </c>
      <c r="F31" t="s">
        <v>84</v>
      </c>
      <c r="G31" t="s">
        <v>159</v>
      </c>
      <c r="H31" t="s">
        <v>160</v>
      </c>
      <c r="I31" t="s">
        <v>165</v>
      </c>
      <c r="J31" t="s">
        <v>128</v>
      </c>
      <c r="K31" t="s">
        <v>166</v>
      </c>
      <c r="L31" t="s">
        <v>177</v>
      </c>
      <c r="M31" t="s">
        <v>204</v>
      </c>
      <c r="N31" t="s">
        <v>227</v>
      </c>
      <c r="O31" s="6" t="s">
        <v>230</v>
      </c>
      <c r="P31" t="s">
        <v>257</v>
      </c>
      <c r="Q31" t="s">
        <v>279</v>
      </c>
      <c r="R31" t="s">
        <v>45</v>
      </c>
    </row>
    <row r="32" spans="1:18" x14ac:dyDescent="0.25">
      <c r="A32" t="s">
        <v>128</v>
      </c>
      <c r="B32" t="s">
        <v>46</v>
      </c>
      <c r="C32" s="4">
        <v>0.48</v>
      </c>
      <c r="D32">
        <v>10</v>
      </c>
      <c r="E32">
        <v>11</v>
      </c>
      <c r="F32" t="s">
        <v>85</v>
      </c>
      <c r="G32" t="s">
        <v>159</v>
      </c>
      <c r="H32" t="s">
        <v>160</v>
      </c>
      <c r="I32" t="s">
        <v>163</v>
      </c>
      <c r="J32" t="s">
        <v>128</v>
      </c>
      <c r="K32" t="s">
        <v>166</v>
      </c>
      <c r="L32" t="s">
        <v>174</v>
      </c>
      <c r="M32" t="s">
        <v>205</v>
      </c>
      <c r="N32" t="s">
        <v>227</v>
      </c>
      <c r="O32" s="6" t="s">
        <v>228</v>
      </c>
      <c r="P32" t="s">
        <v>258</v>
      </c>
      <c r="Q32" t="s">
        <v>279</v>
      </c>
      <c r="R32" t="s">
        <v>46</v>
      </c>
    </row>
    <row r="33" spans="1:18" x14ac:dyDescent="0.25">
      <c r="A33" t="s">
        <v>128</v>
      </c>
      <c r="B33" t="s">
        <v>47</v>
      </c>
      <c r="C33" s="4">
        <v>0.55000000000000004</v>
      </c>
      <c r="D33">
        <v>11</v>
      </c>
      <c r="E33">
        <v>14</v>
      </c>
      <c r="F33" t="s">
        <v>86</v>
      </c>
      <c r="G33" t="s">
        <v>159</v>
      </c>
      <c r="H33" t="s">
        <v>160</v>
      </c>
      <c r="I33" t="s">
        <v>164</v>
      </c>
      <c r="J33" t="s">
        <v>128</v>
      </c>
      <c r="K33" t="s">
        <v>166</v>
      </c>
      <c r="L33" t="s">
        <v>174</v>
      </c>
      <c r="M33" t="s">
        <v>206</v>
      </c>
      <c r="N33" t="s">
        <v>227</v>
      </c>
      <c r="O33" s="6" t="s">
        <v>229</v>
      </c>
      <c r="P33" t="s">
        <v>259</v>
      </c>
      <c r="Q33" t="s">
        <v>279</v>
      </c>
      <c r="R33" t="s">
        <v>47</v>
      </c>
    </row>
    <row r="34" spans="1:18" x14ac:dyDescent="0.25">
      <c r="A34" t="s">
        <v>128</v>
      </c>
      <c r="B34" t="s">
        <v>48</v>
      </c>
      <c r="C34" s="4">
        <v>7.0000000000000007E-2</v>
      </c>
      <c r="D34">
        <v>9</v>
      </c>
      <c r="E34">
        <v>12</v>
      </c>
      <c r="F34" t="s">
        <v>83</v>
      </c>
      <c r="G34" t="s">
        <v>159</v>
      </c>
      <c r="H34" t="s">
        <v>160</v>
      </c>
      <c r="I34" t="s">
        <v>164</v>
      </c>
      <c r="J34" t="s">
        <v>128</v>
      </c>
      <c r="K34" t="s">
        <v>167</v>
      </c>
      <c r="L34" t="s">
        <v>174</v>
      </c>
      <c r="M34" t="s">
        <v>207</v>
      </c>
      <c r="N34" s="5">
        <v>20</v>
      </c>
      <c r="O34" s="6" t="s">
        <v>230</v>
      </c>
      <c r="P34" t="s">
        <v>260</v>
      </c>
      <c r="Q34" t="s">
        <v>279</v>
      </c>
      <c r="R34" t="s">
        <v>48</v>
      </c>
    </row>
    <row r="35" spans="1:18" x14ac:dyDescent="0.25">
      <c r="A35" t="s">
        <v>128</v>
      </c>
      <c r="B35" t="s">
        <v>49</v>
      </c>
      <c r="C35" s="4">
        <v>7.0000000000000007E-2</v>
      </c>
      <c r="D35">
        <v>1</v>
      </c>
      <c r="E35">
        <v>1</v>
      </c>
      <c r="F35" t="s">
        <v>83</v>
      </c>
      <c r="G35" t="s">
        <v>159</v>
      </c>
      <c r="H35" t="s">
        <v>160</v>
      </c>
      <c r="I35" t="s">
        <v>165</v>
      </c>
      <c r="J35" t="s">
        <v>128</v>
      </c>
      <c r="K35" t="s">
        <v>167</v>
      </c>
      <c r="L35" t="s">
        <v>174</v>
      </c>
      <c r="M35" t="s">
        <v>208</v>
      </c>
      <c r="N35" s="5">
        <v>20</v>
      </c>
      <c r="O35" s="6" t="s">
        <v>228</v>
      </c>
      <c r="P35" t="s">
        <v>261</v>
      </c>
      <c r="Q35" t="s">
        <v>279</v>
      </c>
      <c r="R35" t="s">
        <v>49</v>
      </c>
    </row>
    <row r="36" spans="1:18" x14ac:dyDescent="0.25">
      <c r="A36" t="s">
        <v>128</v>
      </c>
      <c r="B36" t="s">
        <v>50</v>
      </c>
      <c r="C36" s="4">
        <v>7.0000000000000007E-2</v>
      </c>
      <c r="D36">
        <v>13</v>
      </c>
      <c r="E36">
        <v>13</v>
      </c>
      <c r="F36" t="s">
        <v>84</v>
      </c>
      <c r="G36" t="s">
        <v>159</v>
      </c>
      <c r="H36" t="s">
        <v>91</v>
      </c>
      <c r="I36" t="s">
        <v>165</v>
      </c>
      <c r="J36" t="s">
        <v>128</v>
      </c>
      <c r="K36" t="s">
        <v>167</v>
      </c>
      <c r="L36" t="s">
        <v>174</v>
      </c>
      <c r="M36" t="s">
        <v>209</v>
      </c>
      <c r="N36" s="5">
        <v>20</v>
      </c>
      <c r="O36" s="6" t="s">
        <v>229</v>
      </c>
      <c r="P36" t="s">
        <v>262</v>
      </c>
      <c r="Q36" t="s">
        <v>279</v>
      </c>
      <c r="R36" t="s">
        <v>50</v>
      </c>
    </row>
    <row r="37" spans="1:18" x14ac:dyDescent="0.25">
      <c r="A37" t="s">
        <v>128</v>
      </c>
      <c r="B37" t="s">
        <v>51</v>
      </c>
      <c r="C37" s="4">
        <v>0.38</v>
      </c>
      <c r="D37">
        <v>6</v>
      </c>
      <c r="E37">
        <v>8</v>
      </c>
      <c r="F37" t="s">
        <v>84</v>
      </c>
      <c r="G37" t="s">
        <v>159</v>
      </c>
      <c r="H37" t="s">
        <v>91</v>
      </c>
      <c r="I37" t="s">
        <v>165</v>
      </c>
      <c r="J37" t="s">
        <v>128</v>
      </c>
      <c r="K37" t="s">
        <v>168</v>
      </c>
      <c r="L37" t="s">
        <v>175</v>
      </c>
      <c r="M37" t="s">
        <v>210</v>
      </c>
      <c r="N37" s="5">
        <v>20</v>
      </c>
      <c r="O37" s="6" t="s">
        <v>230</v>
      </c>
      <c r="P37" t="s">
        <v>263</v>
      </c>
      <c r="Q37" t="s">
        <v>279</v>
      </c>
      <c r="R37" t="s">
        <v>93</v>
      </c>
    </row>
    <row r="38" spans="1:18" x14ac:dyDescent="0.25">
      <c r="A38" t="s">
        <v>128</v>
      </c>
      <c r="B38" t="s">
        <v>52</v>
      </c>
      <c r="C38" s="4">
        <v>0.03</v>
      </c>
      <c r="D38">
        <v>19</v>
      </c>
      <c r="E38">
        <v>23</v>
      </c>
      <c r="F38" t="s">
        <v>84</v>
      </c>
      <c r="G38" t="s">
        <v>159</v>
      </c>
      <c r="H38" t="s">
        <v>91</v>
      </c>
      <c r="I38" t="s">
        <v>165</v>
      </c>
      <c r="J38" t="s">
        <v>128</v>
      </c>
      <c r="K38" t="s">
        <v>168</v>
      </c>
      <c r="L38" t="s">
        <v>175</v>
      </c>
      <c r="M38" t="s">
        <v>211</v>
      </c>
      <c r="N38" s="5">
        <v>20</v>
      </c>
      <c r="O38" s="6" t="s">
        <v>228</v>
      </c>
      <c r="P38" t="s">
        <v>264</v>
      </c>
      <c r="Q38" t="s">
        <v>279</v>
      </c>
      <c r="R38" t="s">
        <v>94</v>
      </c>
    </row>
    <row r="39" spans="1:18" x14ac:dyDescent="0.25">
      <c r="A39" t="s">
        <v>128</v>
      </c>
      <c r="B39" t="s">
        <v>53</v>
      </c>
      <c r="C39" s="4">
        <v>0.06</v>
      </c>
      <c r="D39">
        <v>12</v>
      </c>
      <c r="E39">
        <v>18</v>
      </c>
      <c r="F39" t="s">
        <v>85</v>
      </c>
      <c r="G39" t="s">
        <v>159</v>
      </c>
      <c r="H39" t="s">
        <v>91</v>
      </c>
      <c r="I39" t="s">
        <v>165</v>
      </c>
      <c r="J39" t="s">
        <v>128</v>
      </c>
      <c r="K39" t="s">
        <v>168</v>
      </c>
      <c r="L39" t="s">
        <v>175</v>
      </c>
      <c r="M39" t="s">
        <v>212</v>
      </c>
      <c r="N39" s="5">
        <v>20</v>
      </c>
      <c r="O39" s="6" t="s">
        <v>229</v>
      </c>
      <c r="P39" t="s">
        <v>265</v>
      </c>
      <c r="Q39" t="s">
        <v>279</v>
      </c>
      <c r="R39" t="s">
        <v>95</v>
      </c>
    </row>
    <row r="40" spans="1:18" x14ac:dyDescent="0.25">
      <c r="A40" t="s">
        <v>128</v>
      </c>
      <c r="B40" t="s">
        <v>54</v>
      </c>
      <c r="C40" s="4">
        <v>0.15</v>
      </c>
      <c r="D40">
        <v>5</v>
      </c>
      <c r="E40">
        <v>6</v>
      </c>
      <c r="F40" t="s">
        <v>86</v>
      </c>
      <c r="G40" t="s">
        <v>159</v>
      </c>
      <c r="H40" t="s">
        <v>91</v>
      </c>
      <c r="I40" t="s">
        <v>165</v>
      </c>
      <c r="J40" t="s">
        <v>128</v>
      </c>
      <c r="K40" t="s">
        <v>168</v>
      </c>
      <c r="L40" t="s">
        <v>175</v>
      </c>
      <c r="M40" t="s">
        <v>213</v>
      </c>
      <c r="N40" s="5">
        <v>20</v>
      </c>
      <c r="O40" s="6" t="s">
        <v>230</v>
      </c>
      <c r="P40" t="s">
        <v>266</v>
      </c>
      <c r="Q40" t="s">
        <v>279</v>
      </c>
      <c r="R40" t="s">
        <v>96</v>
      </c>
    </row>
    <row r="41" spans="1:18" x14ac:dyDescent="0.25">
      <c r="A41" t="s">
        <v>128</v>
      </c>
      <c r="B41" t="s">
        <v>55</v>
      </c>
      <c r="C41" t="s">
        <v>19</v>
      </c>
      <c r="D41">
        <v>90</v>
      </c>
      <c r="E41">
        <v>44</v>
      </c>
      <c r="F41" t="s">
        <v>83</v>
      </c>
      <c r="G41" t="s">
        <v>159</v>
      </c>
      <c r="H41" t="s">
        <v>161</v>
      </c>
      <c r="I41" t="s">
        <v>163</v>
      </c>
      <c r="J41" t="s">
        <v>128</v>
      </c>
      <c r="K41" t="s">
        <v>169</v>
      </c>
      <c r="L41" t="s">
        <v>175</v>
      </c>
      <c r="M41" t="s">
        <v>214</v>
      </c>
      <c r="N41" s="5">
        <v>20</v>
      </c>
      <c r="O41" s="6" t="s">
        <v>228</v>
      </c>
      <c r="P41" t="s">
        <v>267</v>
      </c>
      <c r="Q41" t="s">
        <v>279</v>
      </c>
    </row>
    <row r="42" spans="1:18" x14ac:dyDescent="0.25">
      <c r="A42" t="s">
        <v>128</v>
      </c>
      <c r="B42" t="s">
        <v>56</v>
      </c>
      <c r="C42" s="4">
        <v>0.36</v>
      </c>
      <c r="D42">
        <v>41</v>
      </c>
      <c r="E42">
        <v>33</v>
      </c>
      <c r="F42" t="s">
        <v>84</v>
      </c>
      <c r="G42" t="s">
        <v>159</v>
      </c>
      <c r="H42" t="s">
        <v>161</v>
      </c>
      <c r="I42" t="s">
        <v>164</v>
      </c>
      <c r="J42" t="s">
        <v>128</v>
      </c>
      <c r="K42" t="s">
        <v>169</v>
      </c>
      <c r="L42" t="s">
        <v>176</v>
      </c>
      <c r="M42" t="s">
        <v>215</v>
      </c>
      <c r="N42" s="5">
        <v>20</v>
      </c>
      <c r="O42" s="6" t="s">
        <v>229</v>
      </c>
      <c r="P42" t="s">
        <v>268</v>
      </c>
      <c r="Q42" t="s">
        <v>279</v>
      </c>
    </row>
    <row r="43" spans="1:18" x14ac:dyDescent="0.25">
      <c r="A43" t="s">
        <v>128</v>
      </c>
      <c r="B43" t="s">
        <v>57</v>
      </c>
      <c r="C43" s="4">
        <v>0.03</v>
      </c>
      <c r="D43">
        <v>7</v>
      </c>
      <c r="E43">
        <v>7</v>
      </c>
      <c r="F43" t="s">
        <v>84</v>
      </c>
      <c r="G43" t="s">
        <v>159</v>
      </c>
      <c r="H43" t="s">
        <v>161</v>
      </c>
      <c r="I43" t="s">
        <v>164</v>
      </c>
      <c r="J43" t="s">
        <v>128</v>
      </c>
      <c r="K43" t="s">
        <v>169</v>
      </c>
      <c r="L43" t="s">
        <v>176</v>
      </c>
      <c r="M43" t="s">
        <v>216</v>
      </c>
      <c r="N43" s="5">
        <v>20</v>
      </c>
      <c r="O43" s="6" t="s">
        <v>230</v>
      </c>
      <c r="P43" t="s">
        <v>269</v>
      </c>
      <c r="Q43" t="s">
        <v>279</v>
      </c>
    </row>
    <row r="44" spans="1:18" x14ac:dyDescent="0.25">
      <c r="A44" t="s">
        <v>128</v>
      </c>
      <c r="B44" t="s">
        <v>58</v>
      </c>
      <c r="C44" s="4">
        <v>0.21</v>
      </c>
      <c r="D44">
        <v>9</v>
      </c>
      <c r="E44">
        <v>12</v>
      </c>
      <c r="F44" t="s">
        <v>84</v>
      </c>
      <c r="G44" t="s">
        <v>159</v>
      </c>
      <c r="H44" t="s">
        <v>161</v>
      </c>
      <c r="I44" t="s">
        <v>165</v>
      </c>
      <c r="J44" t="s">
        <v>128</v>
      </c>
      <c r="K44" t="s">
        <v>170</v>
      </c>
      <c r="L44" t="s">
        <v>176</v>
      </c>
      <c r="M44" t="s">
        <v>217</v>
      </c>
      <c r="N44" s="5">
        <v>20</v>
      </c>
      <c r="O44" s="6" t="s">
        <v>228</v>
      </c>
      <c r="P44" t="s">
        <v>270</v>
      </c>
      <c r="Q44" t="s">
        <v>279</v>
      </c>
    </row>
    <row r="45" spans="1:18" x14ac:dyDescent="0.25">
      <c r="A45" t="s">
        <v>128</v>
      </c>
      <c r="B45" t="s">
        <v>59</v>
      </c>
      <c r="C45" s="4">
        <v>0.01</v>
      </c>
      <c r="D45">
        <v>57</v>
      </c>
      <c r="E45">
        <v>21</v>
      </c>
      <c r="F45" t="s">
        <v>83</v>
      </c>
      <c r="G45" t="s">
        <v>159</v>
      </c>
      <c r="H45" t="s">
        <v>161</v>
      </c>
      <c r="I45" t="s">
        <v>165</v>
      </c>
      <c r="J45" t="s">
        <v>128</v>
      </c>
      <c r="K45" t="s">
        <v>171</v>
      </c>
      <c r="L45" t="s">
        <v>176</v>
      </c>
      <c r="M45" t="s">
        <v>218</v>
      </c>
      <c r="N45" s="5">
        <v>20</v>
      </c>
      <c r="O45" s="6" t="s">
        <v>229</v>
      </c>
      <c r="P45" t="s">
        <v>271</v>
      </c>
      <c r="Q45" t="s">
        <v>279</v>
      </c>
    </row>
    <row r="46" spans="1:18" x14ac:dyDescent="0.25">
      <c r="A46" t="s">
        <v>128</v>
      </c>
      <c r="B46" t="s">
        <v>60</v>
      </c>
      <c r="C46" s="4">
        <v>0.04</v>
      </c>
      <c r="D46">
        <v>30</v>
      </c>
      <c r="E46">
        <v>18</v>
      </c>
      <c r="F46" t="s">
        <v>83</v>
      </c>
      <c r="G46" t="s">
        <v>159</v>
      </c>
      <c r="H46" t="s">
        <v>162</v>
      </c>
      <c r="I46" t="s">
        <v>165</v>
      </c>
      <c r="J46" t="s">
        <v>128</v>
      </c>
      <c r="K46" t="s">
        <v>172</v>
      </c>
      <c r="L46" t="s">
        <v>176</v>
      </c>
      <c r="M46" t="s">
        <v>219</v>
      </c>
      <c r="N46" s="5">
        <v>20</v>
      </c>
      <c r="O46" s="6" t="s">
        <v>230</v>
      </c>
      <c r="P46" t="s">
        <v>272</v>
      </c>
      <c r="Q46" t="s">
        <v>279</v>
      </c>
    </row>
    <row r="47" spans="1:18" x14ac:dyDescent="0.25">
      <c r="A47" t="s">
        <v>128</v>
      </c>
      <c r="B47" t="s">
        <v>61</v>
      </c>
      <c r="C47" s="4">
        <v>0.02</v>
      </c>
      <c r="D47">
        <v>36</v>
      </c>
      <c r="E47">
        <v>28</v>
      </c>
      <c r="F47" t="s">
        <v>84</v>
      </c>
      <c r="G47" t="s">
        <v>159</v>
      </c>
      <c r="H47" t="s">
        <v>162</v>
      </c>
      <c r="I47" t="s">
        <v>165</v>
      </c>
      <c r="J47" t="s">
        <v>128</v>
      </c>
      <c r="K47" t="s">
        <v>172</v>
      </c>
      <c r="L47" t="s">
        <v>176</v>
      </c>
      <c r="M47" t="s">
        <v>220</v>
      </c>
      <c r="N47" s="5">
        <v>20</v>
      </c>
      <c r="O47" s="6" t="s">
        <v>228</v>
      </c>
      <c r="P47" t="s">
        <v>273</v>
      </c>
      <c r="Q47" t="s">
        <v>279</v>
      </c>
    </row>
    <row r="48" spans="1:18" x14ac:dyDescent="0.25">
      <c r="A48" t="s">
        <v>128</v>
      </c>
      <c r="B48" t="s">
        <v>62</v>
      </c>
      <c r="C48" s="4">
        <v>0.01</v>
      </c>
      <c r="D48">
        <v>76</v>
      </c>
      <c r="E48">
        <v>31</v>
      </c>
      <c r="F48" t="s">
        <v>84</v>
      </c>
      <c r="G48" t="s">
        <v>159</v>
      </c>
      <c r="H48" t="s">
        <v>162</v>
      </c>
      <c r="I48" t="s">
        <v>165</v>
      </c>
      <c r="J48" t="s">
        <v>128</v>
      </c>
      <c r="K48" t="s">
        <v>172</v>
      </c>
      <c r="L48" t="s">
        <v>177</v>
      </c>
      <c r="M48" t="s">
        <v>221</v>
      </c>
      <c r="N48" s="5">
        <v>20</v>
      </c>
      <c r="O48" s="6" t="s">
        <v>229</v>
      </c>
      <c r="P48" t="s">
        <v>274</v>
      </c>
      <c r="Q48" t="s">
        <v>279</v>
      </c>
    </row>
    <row r="49" spans="1:17" x14ac:dyDescent="0.25">
      <c r="A49" t="s">
        <v>128</v>
      </c>
      <c r="B49" t="s">
        <v>63</v>
      </c>
      <c r="C49" s="4">
        <v>0.47</v>
      </c>
      <c r="D49">
        <v>42</v>
      </c>
      <c r="E49">
        <v>31</v>
      </c>
      <c r="F49" t="s">
        <v>84</v>
      </c>
      <c r="G49" t="s">
        <v>159</v>
      </c>
      <c r="H49" t="s">
        <v>162</v>
      </c>
      <c r="I49" t="s">
        <v>165</v>
      </c>
      <c r="J49" t="s">
        <v>128</v>
      </c>
      <c r="K49" t="s">
        <v>173</v>
      </c>
      <c r="L49" t="s">
        <v>177</v>
      </c>
      <c r="M49" t="s">
        <v>222</v>
      </c>
      <c r="N49" s="5">
        <v>20</v>
      </c>
      <c r="O49" s="6" t="s">
        <v>230</v>
      </c>
      <c r="P49" t="s">
        <v>275</v>
      </c>
      <c r="Q49" t="s">
        <v>279</v>
      </c>
    </row>
    <row r="50" spans="1:17" x14ac:dyDescent="0.25">
      <c r="A50" t="s">
        <v>128</v>
      </c>
      <c r="B50" t="s">
        <v>64</v>
      </c>
      <c r="C50" s="4">
        <v>0.11</v>
      </c>
      <c r="D50">
        <v>91</v>
      </c>
      <c r="E50">
        <v>45</v>
      </c>
      <c r="F50" t="s">
        <v>85</v>
      </c>
      <c r="G50" t="s">
        <v>159</v>
      </c>
      <c r="H50" t="s">
        <v>162</v>
      </c>
      <c r="I50" t="s">
        <v>163</v>
      </c>
      <c r="J50" t="s">
        <v>128</v>
      </c>
      <c r="K50" t="s">
        <v>173</v>
      </c>
      <c r="L50" t="s">
        <v>177</v>
      </c>
      <c r="M50" t="s">
        <v>223</v>
      </c>
      <c r="N50" s="5">
        <v>20</v>
      </c>
      <c r="O50" s="6" t="s">
        <v>230</v>
      </c>
      <c r="P50" t="s">
        <v>275</v>
      </c>
      <c r="Q50" t="s">
        <v>279</v>
      </c>
    </row>
    <row r="51" spans="1:17" x14ac:dyDescent="0.25">
      <c r="A51" t="s">
        <v>128</v>
      </c>
      <c r="B51" t="s">
        <v>65</v>
      </c>
      <c r="C51" s="4">
        <v>0.09</v>
      </c>
      <c r="D51">
        <v>12</v>
      </c>
      <c r="E51">
        <v>14</v>
      </c>
      <c r="F51" t="s">
        <v>86</v>
      </c>
      <c r="G51" t="s">
        <v>159</v>
      </c>
      <c r="H51" t="s">
        <v>162</v>
      </c>
      <c r="I51" t="s">
        <v>163</v>
      </c>
      <c r="J51" t="s">
        <v>128</v>
      </c>
      <c r="K51" t="s">
        <v>173</v>
      </c>
      <c r="L51" t="s">
        <v>177</v>
      </c>
      <c r="M51" t="s">
        <v>224</v>
      </c>
      <c r="N51" s="5">
        <v>20</v>
      </c>
      <c r="O51" s="6" t="s">
        <v>230</v>
      </c>
      <c r="P51" t="s">
        <v>275</v>
      </c>
      <c r="Q51" t="s">
        <v>279</v>
      </c>
    </row>
    <row r="52" spans="1:17" x14ac:dyDescent="0.25">
      <c r="A52" t="s">
        <v>129</v>
      </c>
      <c r="B52" t="s">
        <v>130</v>
      </c>
      <c r="C52" s="4"/>
      <c r="N52" s="5"/>
      <c r="O52" s="6"/>
    </row>
    <row r="53" spans="1:17" x14ac:dyDescent="0.25">
      <c r="A53" t="s">
        <v>129</v>
      </c>
      <c r="B53" t="s">
        <v>131</v>
      </c>
      <c r="C53" s="4"/>
      <c r="N53" s="5"/>
      <c r="O53" s="6"/>
    </row>
    <row r="54" spans="1:17" x14ac:dyDescent="0.25">
      <c r="A54" t="s">
        <v>129</v>
      </c>
      <c r="B54" t="s">
        <v>132</v>
      </c>
      <c r="C54" s="4"/>
      <c r="N54" s="5"/>
      <c r="O54" s="6"/>
    </row>
    <row r="55" spans="1:17" x14ac:dyDescent="0.25">
      <c r="A55" t="s">
        <v>129</v>
      </c>
      <c r="B55" t="s">
        <v>133</v>
      </c>
      <c r="C55" s="4"/>
      <c r="N55" s="5"/>
      <c r="O55" s="6"/>
    </row>
    <row r="56" spans="1:17" x14ac:dyDescent="0.25">
      <c r="A56" t="s">
        <v>129</v>
      </c>
      <c r="B56" t="s">
        <v>134</v>
      </c>
      <c r="N56" s="5"/>
      <c r="O56" s="6"/>
    </row>
    <row r="57" spans="1:17" x14ac:dyDescent="0.25">
      <c r="A57" t="s">
        <v>129</v>
      </c>
      <c r="B57" t="s">
        <v>135</v>
      </c>
      <c r="C57" s="4"/>
      <c r="N57" s="5"/>
      <c r="O57" s="6"/>
    </row>
    <row r="58" spans="1:17" x14ac:dyDescent="0.25">
      <c r="A58" t="s">
        <v>129</v>
      </c>
      <c r="B58" t="s">
        <v>136</v>
      </c>
      <c r="C58" s="4"/>
      <c r="N58" s="5"/>
      <c r="O58" s="6"/>
    </row>
    <row r="59" spans="1:17" x14ac:dyDescent="0.25">
      <c r="A59" t="s">
        <v>129</v>
      </c>
      <c r="B59" t="s">
        <v>137</v>
      </c>
      <c r="C59" s="4"/>
      <c r="N59" s="5"/>
      <c r="O59" s="6"/>
    </row>
    <row r="60" spans="1:17" x14ac:dyDescent="0.25">
      <c r="A60" t="s">
        <v>129</v>
      </c>
      <c r="B60" t="s">
        <v>138</v>
      </c>
      <c r="C60" s="4"/>
      <c r="N60" s="5"/>
      <c r="O60" s="6"/>
    </row>
    <row r="61" spans="1:17" x14ac:dyDescent="0.25">
      <c r="A61" t="s">
        <v>129</v>
      </c>
      <c r="B61" t="s">
        <v>139</v>
      </c>
      <c r="C61" s="4"/>
      <c r="N61" s="5"/>
      <c r="O61" s="6"/>
    </row>
    <row r="62" spans="1:17" x14ac:dyDescent="0.25">
      <c r="A62" t="s">
        <v>129</v>
      </c>
      <c r="B62" t="s">
        <v>140</v>
      </c>
      <c r="C62" s="4"/>
      <c r="N62" s="5"/>
      <c r="O62" s="6"/>
    </row>
    <row r="63" spans="1:17" x14ac:dyDescent="0.25">
      <c r="A63" t="s">
        <v>129</v>
      </c>
      <c r="B63" t="s">
        <v>141</v>
      </c>
      <c r="C63" s="4"/>
      <c r="N63" s="5"/>
      <c r="O63" s="6"/>
    </row>
    <row r="64" spans="1:17" x14ac:dyDescent="0.25">
      <c r="A64" t="s">
        <v>129</v>
      </c>
      <c r="B64" t="s">
        <v>142</v>
      </c>
      <c r="C64" s="4"/>
      <c r="N64" s="5"/>
      <c r="O64" s="6"/>
    </row>
    <row r="65" spans="1:15" x14ac:dyDescent="0.25">
      <c r="A65" t="s">
        <v>129</v>
      </c>
      <c r="B65" t="s">
        <v>143</v>
      </c>
      <c r="C65" s="4"/>
      <c r="N65" s="5"/>
      <c r="O65" s="6"/>
    </row>
    <row r="66" spans="1:15" x14ac:dyDescent="0.25">
      <c r="A66" t="s">
        <v>129</v>
      </c>
      <c r="B66" t="s">
        <v>144</v>
      </c>
      <c r="C66" s="4"/>
      <c r="N66" s="5"/>
      <c r="O66" s="6"/>
    </row>
    <row r="67" spans="1:15" x14ac:dyDescent="0.25">
      <c r="A67" t="s">
        <v>129</v>
      </c>
      <c r="B67" t="s">
        <v>145</v>
      </c>
      <c r="C67" s="4"/>
      <c r="N67" s="5"/>
      <c r="O67" s="6"/>
    </row>
    <row r="68" spans="1:15" x14ac:dyDescent="0.25">
      <c r="A68" t="s">
        <v>129</v>
      </c>
      <c r="B68" t="s">
        <v>146</v>
      </c>
      <c r="C68" s="4"/>
      <c r="N68" s="5"/>
      <c r="O68" s="6"/>
    </row>
    <row r="69" spans="1:15" x14ac:dyDescent="0.25">
      <c r="A69" t="s">
        <v>129</v>
      </c>
      <c r="B69" t="s">
        <v>147</v>
      </c>
    </row>
    <row r="70" spans="1:15" x14ac:dyDescent="0.25">
      <c r="A70" t="s">
        <v>129</v>
      </c>
      <c r="B70" t="s">
        <v>148</v>
      </c>
    </row>
    <row r="71" spans="1:15" x14ac:dyDescent="0.25">
      <c r="A71" t="s">
        <v>129</v>
      </c>
      <c r="B71" t="s">
        <v>149</v>
      </c>
    </row>
    <row r="72" spans="1:15" x14ac:dyDescent="0.25">
      <c r="A72" t="s">
        <v>129</v>
      </c>
      <c r="B72" t="s">
        <v>150</v>
      </c>
    </row>
    <row r="73" spans="1:15" x14ac:dyDescent="0.25">
      <c r="A73" t="s">
        <v>129</v>
      </c>
      <c r="B73" t="s">
        <v>151</v>
      </c>
    </row>
    <row r="74" spans="1:15" x14ac:dyDescent="0.25">
      <c r="A74" t="s">
        <v>129</v>
      </c>
      <c r="B74" t="s">
        <v>152</v>
      </c>
    </row>
    <row r="75" spans="1:15" x14ac:dyDescent="0.25">
      <c r="A75" t="s">
        <v>129</v>
      </c>
      <c r="B75" t="s">
        <v>153</v>
      </c>
    </row>
    <row r="76" spans="1:15" x14ac:dyDescent="0.25">
      <c r="A76" t="s">
        <v>129</v>
      </c>
      <c r="B76" t="s">
        <v>154</v>
      </c>
    </row>
    <row r="77" spans="1:15" x14ac:dyDescent="0.25">
      <c r="A77" t="s">
        <v>129</v>
      </c>
      <c r="B77" t="s">
        <v>155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PasteNewDomainURL (2)</vt:lpstr>
      <vt:lpstr>PasteNewDomainURL (3)</vt:lpstr>
      <vt:lpstr>PasteNewDomainURL</vt:lpstr>
      <vt:lpstr>MainSheet</vt:lpstr>
      <vt:lpstr>A Main Database</vt:lpstr>
      <vt:lpstr>B New List For Match (2)</vt:lpstr>
      <vt:lpstr>B New List For Match</vt:lpstr>
      <vt:lpstr>C Expected Outcome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Kenwells</dc:creator>
  <cp:lastModifiedBy>DELL</cp:lastModifiedBy>
  <dcterms:created xsi:type="dcterms:W3CDTF">2021-07-02T21:47:59Z</dcterms:created>
  <dcterms:modified xsi:type="dcterms:W3CDTF">2025-07-15T04:42:53Z</dcterms:modified>
</cp:coreProperties>
</file>